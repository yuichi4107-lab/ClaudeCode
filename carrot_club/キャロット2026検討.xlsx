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募集馬一覧" sheetId="1" state="visible" r:id="rId3"/>
    <sheet name="検討基準" sheetId="2" state="visible" r:id="rId4"/>
    <sheet name="0904母馬優先" sheetId="3" state="visible" r:id="rId5"/>
    <sheet name="0904一般" sheetId="4" state="visible" r:id="rId6"/>
    <sheet name="過去募集馬成績" sheetId="5" state="visible" r:id="rId7"/>
  </sheets>
  <definedNames>
    <definedName function="false" hidden="true" localSheetId="4" name="_xlnm._FilterDatabase" vbProcedure="false">過去募集馬成績!$A$1:$T$277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WenQuanYi Zen Hei"/>
            <family val="2"/>
          </rPr>
          <t xml:space="preserve">母年齢と登録産駒数は</t>
        </r>
        <r>
          <rPr>
            <sz val="10"/>
            <rFont val="Arial"/>
            <family val="2"/>
          </rPr>
          <t xml:space="preserve">netkeiba</t>
        </r>
        <r>
          <rPr>
            <sz val="10"/>
            <rFont val="WenQuanYi Zen Hei"/>
            <family val="2"/>
          </rPr>
          <t xml:space="preserve">から自動取得した参考値。重要な馬はカタログで要確認。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WenQuanYi Zen Hei"/>
            <family val="2"/>
          </rPr>
          <t xml:space="preserve">中間発表の申込者数</t>
        </r>
        <r>
          <rPr>
            <sz val="10"/>
            <rFont val="Arial"/>
            <family val="2"/>
          </rPr>
          <t xml:space="preserve">(C</t>
        </r>
        <r>
          <rPr>
            <sz val="10"/>
            <rFont val="WenQuanYi Zen Hei"/>
            <family val="2"/>
          </rPr>
          <t xml:space="preserve">～</t>
        </r>
        <r>
          <rPr>
            <sz val="10"/>
            <rFont val="Arial"/>
            <family val="2"/>
          </rPr>
          <t xml:space="preserve">F</t>
        </r>
        <r>
          <rPr>
            <sz val="10"/>
            <rFont val="WenQuanYi Zen Hei"/>
            <family val="2"/>
          </rPr>
          <t xml:space="preserve">列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を入力すると右側の確率が自動計算されます。
</t>
        </r>
        <r>
          <rPr>
            <sz val="10"/>
            <rFont val="Arial"/>
            <family val="2"/>
          </rPr>
          <t xml:space="preserve">G1</t>
        </r>
        <r>
          <rPr>
            <sz val="10"/>
            <rFont val="WenQuanYi Zen Hei"/>
            <family val="2"/>
          </rPr>
          <t xml:space="preserve">は昨年と同じ換算率</t>
        </r>
        <r>
          <rPr>
            <sz val="10"/>
            <rFont val="Arial"/>
            <family val="2"/>
          </rPr>
          <t xml:space="preserve">0.234</t>
        </r>
        <r>
          <rPr>
            <sz val="10"/>
            <rFont val="WenQuanYi Zen Hei"/>
            <family val="2"/>
          </rPr>
          <t xml:space="preserve">（今年の値に要更新）。
数式中の</t>
        </r>
        <r>
          <rPr>
            <sz val="10"/>
            <rFont val="Arial"/>
            <family val="2"/>
          </rPr>
          <t xml:space="preserve">200</t>
        </r>
        <r>
          <rPr>
            <sz val="10"/>
            <rFont val="WenQuanYi Zen Hei"/>
            <family val="2"/>
          </rPr>
          <t xml:space="preserve">は募集口数</t>
        </r>
        <r>
          <rPr>
            <sz val="10"/>
            <rFont val="Arial"/>
            <family val="2"/>
          </rPr>
          <t xml:space="preserve">400</t>
        </r>
        <r>
          <rPr>
            <sz val="10"/>
            <rFont val="WenQuanYi Zen Hei"/>
            <family val="2"/>
          </rPr>
          <t xml:space="preserve">口の馬の母優枠。昨年同様、口数が少ない馬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例</t>
        </r>
        <r>
          <rPr>
            <sz val="10"/>
            <rFont val="Arial"/>
            <family val="2"/>
          </rPr>
          <t xml:space="preserve">:200</t>
        </r>
        <r>
          <rPr>
            <sz val="10"/>
            <rFont val="WenQuanYi Zen Hei"/>
            <family val="2"/>
          </rPr>
          <t xml:space="preserve">口募集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は該当行の</t>
        </r>
        <r>
          <rPr>
            <sz val="10"/>
            <rFont val="Arial"/>
            <family val="2"/>
          </rPr>
          <t xml:space="preserve">200</t>
        </r>
        <r>
          <rPr>
            <sz val="10"/>
            <rFont val="WenQuanYi Zen Hei"/>
            <family val="2"/>
          </rPr>
          <t xml:space="preserve">を</t>
        </r>
        <r>
          <rPr>
            <sz val="10"/>
            <rFont val="Arial"/>
            <family val="2"/>
          </rPr>
          <t xml:space="preserve">50</t>
        </r>
        <r>
          <rPr>
            <sz val="10"/>
            <rFont val="WenQuanYi Zen Hei"/>
            <family val="2"/>
          </rPr>
          <t xml:space="preserve">等に置き換えてください。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WenQuanYi Zen Hei"/>
            <family val="2"/>
          </rPr>
          <t xml:space="preserve">中間発表の申込者数</t>
        </r>
        <r>
          <rPr>
            <sz val="10"/>
            <rFont val="Arial"/>
            <family val="2"/>
          </rPr>
          <t xml:space="preserve">(C,D</t>
        </r>
        <r>
          <rPr>
            <sz val="10"/>
            <rFont val="WenQuanYi Zen Hei"/>
            <family val="2"/>
          </rPr>
          <t xml:space="preserve">列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を入力すると確率が自動計算されます。
</t>
        </r>
        <r>
          <rPr>
            <sz val="10"/>
            <rFont val="Arial"/>
            <family val="2"/>
          </rPr>
          <t xml:space="preserve">E1</t>
        </r>
        <r>
          <rPr>
            <sz val="10"/>
            <rFont val="WenQuanYi Zen Hei"/>
            <family val="2"/>
          </rPr>
          <t xml:space="preserve">は換算率</t>
        </r>
        <r>
          <rPr>
            <sz val="10"/>
            <rFont val="Arial"/>
            <family val="2"/>
          </rPr>
          <t xml:space="preserve">0.234</t>
        </r>
        <r>
          <rPr>
            <sz val="10"/>
            <rFont val="WenQuanYi Zen Hei"/>
            <family val="2"/>
          </rPr>
          <t xml:space="preserve">（今年の値に要更新）。
数式中の</t>
        </r>
        <r>
          <rPr>
            <sz val="10"/>
            <rFont val="Arial"/>
            <family val="2"/>
          </rPr>
          <t xml:space="preserve">400</t>
        </r>
        <r>
          <rPr>
            <sz val="10"/>
            <rFont val="WenQuanYi Zen Hei"/>
            <family val="2"/>
          </rPr>
          <t xml:space="preserve">は募集口数。昨年同様、口数の異なる馬は該当行の</t>
        </r>
        <r>
          <rPr>
            <sz val="10"/>
            <rFont val="Arial"/>
            <family val="2"/>
          </rPr>
          <t xml:space="preserve">400</t>
        </r>
        <r>
          <rPr>
            <sz val="10"/>
            <rFont val="WenQuanYi Zen Hei"/>
            <family val="2"/>
          </rPr>
          <t xml:space="preserve">を調整してください。</t>
        </r>
      </text>
    </comment>
  </commentList>
</comments>
</file>

<file path=xl/sharedStrings.xml><?xml version="1.0" encoding="utf-8"?>
<sst xmlns="http://schemas.openxmlformats.org/spreadsheetml/2006/main" count="3048" uniqueCount="1648">
  <si>
    <t xml:space="preserve">No</t>
  </si>
  <si>
    <t xml:space="preserve">母馬優先</t>
  </si>
  <si>
    <t xml:space="preserve">募集馬名</t>
  </si>
  <si>
    <t xml:space="preserve">父</t>
  </si>
  <si>
    <t xml:space="preserve">母の父</t>
  </si>
  <si>
    <t xml:space="preserve">性別</t>
  </si>
  <si>
    <t xml:space="preserve">毛色</t>
  </si>
  <si>
    <t xml:space="preserve">生年月日</t>
  </si>
  <si>
    <t xml:space="preserve">提供牧場</t>
  </si>
  <si>
    <t xml:space="preserve">総額(万円)</t>
  </si>
  <si>
    <t xml:space="preserve">一口(円)</t>
  </si>
  <si>
    <t xml:space="preserve">母年齢</t>
  </si>
  <si>
    <t xml:space="preserve">産駒数</t>
  </si>
  <si>
    <t xml:space="preserve">母年齢+産駒数</t>
  </si>
  <si>
    <t xml:space="preserve">馬体重(カタログ)</t>
  </si>
  <si>
    <t xml:space="preserve">スコア</t>
  </si>
  <si>
    <t xml:space="preserve">地区</t>
  </si>
  <si>
    <t xml:space="preserve">予定厩舎</t>
  </si>
  <si>
    <t xml:space="preserve">厩舎相性</t>
  </si>
  <si>
    <t xml:space="preserve">体高</t>
  </si>
  <si>
    <t xml:space="preserve">胸囲</t>
  </si>
  <si>
    <t xml:space="preserve">管囲</t>
  </si>
  <si>
    <t xml:space="preserve">スコア内訳</t>
  </si>
  <si>
    <r>
      <rPr>
        <sz val="11"/>
        <rFont val="ＭＳ ゴシック"/>
        <family val="0"/>
        <charset val="1"/>
      </rPr>
      <t xml:space="preserve">※2026/8/1</t>
    </r>
    <r>
      <rPr>
        <sz val="11"/>
        <rFont val="WenQuanYi Zen Hei"/>
        <family val="2"/>
      </rPr>
      <t xml:space="preserve">確定一覧</t>
    </r>
    <r>
      <rPr>
        <sz val="11"/>
        <rFont val="ＭＳ ゴシック"/>
        <family val="0"/>
        <charset val="1"/>
      </rPr>
      <t xml:space="preserve">(94</t>
    </r>
    <r>
      <rPr>
        <sz val="11"/>
        <rFont val="WenQuanYi Zen Hei"/>
        <family val="2"/>
      </rPr>
      <t xml:space="preserve">頭</t>
    </r>
    <r>
      <rPr>
        <sz val="11"/>
        <rFont val="ＭＳ 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ベース。地方</t>
    </r>
    <r>
      <rPr>
        <sz val="11"/>
        <rFont val="ＭＳ ゴシック"/>
        <family val="0"/>
        <charset val="1"/>
      </rPr>
      <t xml:space="preserve">6</t>
    </r>
    <r>
      <rPr>
        <sz val="11"/>
        <rFont val="WenQuanYi Zen Hei"/>
        <family val="2"/>
      </rPr>
      <t xml:space="preserve">頭は</t>
    </r>
    <r>
      <rPr>
        <sz val="11"/>
        <rFont val="ＭＳ ゴシック"/>
        <family val="0"/>
        <charset val="1"/>
      </rPr>
      <t xml:space="preserve">100</t>
    </r>
    <r>
      <rPr>
        <sz val="11"/>
        <rFont val="WenQuanYi Zen Hei"/>
        <family val="2"/>
      </rPr>
      <t xml:space="preserve">口募集</t>
    </r>
    <r>
      <rPr>
        <sz val="11"/>
        <rFont val="ＭＳ 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一口</t>
    </r>
    <r>
      <rPr>
        <sz val="11"/>
        <rFont val="ＭＳ ゴシック"/>
        <family val="0"/>
        <charset val="1"/>
      </rPr>
      <t xml:space="preserve">=</t>
    </r>
    <r>
      <rPr>
        <sz val="11"/>
        <rFont val="WenQuanYi Zen Hei"/>
        <family val="2"/>
      </rPr>
      <t xml:space="preserve">総額</t>
    </r>
    <r>
      <rPr>
        <sz val="11"/>
        <rFont val="ＭＳ ゴシック"/>
        <family val="0"/>
        <charset val="1"/>
      </rPr>
      <t xml:space="preserve">/100)</t>
    </r>
    <r>
      <rPr>
        <sz val="11"/>
        <rFont val="WenQuanYi Zen Hei"/>
        <family val="2"/>
      </rPr>
      <t xml:space="preserve">。</t>
    </r>
  </si>
  <si>
    <t xml:space="preserve">ブランノワールの25</t>
  </si>
  <si>
    <t xml:space="preserve">イクイノックス</t>
  </si>
  <si>
    <t xml:space="preserve">ロードカナロア</t>
  </si>
  <si>
    <t xml:space="preserve">牡</t>
  </si>
  <si>
    <t xml:space="preserve">鹿</t>
  </si>
  <si>
    <t xml:space="preserve">ノーザンF</t>
  </si>
  <si>
    <t xml:space="preserve">関東</t>
  </si>
  <si>
    <t xml:space="preserve">武井亮</t>
  </si>
  <si>
    <t xml:space="preserve">○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</si>
  <si>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</t>
    </r>
  </si>
  <si>
    <t xml:space="preserve">※母年齢=2025年産駒誕生時の年齢、産駒数=募集馬が何番仔か(netkeiba産駒一覧ベース)。ビディデュークのみ産駒数不明(米国輸入・netkeiba未登録)。</t>
  </si>
  <si>
    <t xml:space="preserve">カリプソIIの25</t>
  </si>
  <si>
    <t xml:space="preserve">Brody's Cause</t>
  </si>
  <si>
    <t xml:space="preserve">メス</t>
  </si>
  <si>
    <t xml:space="preserve">宮田敬介</t>
  </si>
  <si>
    <t xml:space="preserve">△</t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</si>
  <si>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468kg</t>
    </r>
  </si>
  <si>
    <r>
      <rPr>
        <sz val="11"/>
        <rFont val="ＭＳ ゴシック"/>
        <family val="0"/>
        <charset val="1"/>
      </rPr>
      <t xml:space="preserve">※O</t>
    </r>
    <r>
      <rPr>
        <sz val="11"/>
        <rFont val="WenQuanYi Zen Hei"/>
        <family val="2"/>
      </rPr>
      <t xml:space="preserve">列</t>
    </r>
    <r>
      <rPr>
        <sz val="11"/>
        <rFont val="ＭＳ 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馬体重</t>
    </r>
    <r>
      <rPr>
        <sz val="11"/>
        <rFont val="ＭＳ 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はカタログ発表後に入力すると基準スコアに自動加点。スコアは「検討基準」シート参照</t>
    </r>
    <r>
      <rPr>
        <sz val="11"/>
        <rFont val="ＭＳ ゴシック"/>
        <family val="0"/>
        <charset val="1"/>
      </rPr>
      <t xml:space="preserve">(6</t>
    </r>
    <r>
      <rPr>
        <sz val="11"/>
        <rFont val="WenQuanYi Zen Hei"/>
        <family val="2"/>
      </rPr>
      <t xml:space="preserve">点満点</t>
    </r>
    <r>
      <rPr>
        <sz val="11"/>
        <rFont val="ＭＳ 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。</t>
    </r>
  </si>
  <si>
    <t xml:space="preserve">ジェイウォークの25</t>
  </si>
  <si>
    <t xml:space="preserve">Cross Traffic</t>
  </si>
  <si>
    <t xml:space="preserve">芦</t>
  </si>
  <si>
    <t xml:space="preserve">木村哲也</t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</si>
  <si>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</t>
    </r>
  </si>
  <si>
    <t xml:space="preserve">※厩舎相性=2020-22年実績より(◎=回収・勝ち上がりとも優秀/○=堅実/△=注意)。詳細は「検討基準」シート。地方馬の厩舎は移籍前提のため評価対象外。</t>
  </si>
  <si>
    <t xml:space="preserve">●</t>
  </si>
  <si>
    <t xml:space="preserve">ミリッサの25</t>
  </si>
  <si>
    <t xml:space="preserve">エフフォーリア</t>
  </si>
  <si>
    <t xml:space="preserve">ダイワメジャー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</si>
  <si>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430kg</t>
    </r>
  </si>
  <si>
    <t xml:space="preserve">エールデュレーヴの25</t>
  </si>
  <si>
    <t xml:space="preserve">ディープインパクト</t>
  </si>
  <si>
    <t xml:space="preserve">鹿戸雄一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</si>
  <si>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430kg</t>
    </r>
  </si>
  <si>
    <t xml:space="preserve">フィリアプーラの25</t>
  </si>
  <si>
    <t xml:space="preserve">ハービンジャー</t>
  </si>
  <si>
    <t xml:space="preserve">栗</t>
  </si>
  <si>
    <t xml:space="preserve">森一誠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</si>
  <si>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440kg</t>
    </r>
  </si>
  <si>
    <t xml:space="preserve">トレジャーステイトの25</t>
  </si>
  <si>
    <t xml:space="preserve">キタサンブラック</t>
  </si>
  <si>
    <t xml:space="preserve">Oasis Dream</t>
  </si>
  <si>
    <t xml:space="preserve">黒鹿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</si>
  <si>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454kg</t>
    </r>
  </si>
  <si>
    <t xml:space="preserve">スルーセブンシーズの25</t>
  </si>
  <si>
    <t xml:space="preserve">ドリームジャーニー</t>
  </si>
  <si>
    <t xml:space="preserve">尾関知人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</si>
  <si>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473kg</t>
    </r>
  </si>
  <si>
    <t xml:space="preserve">ライラックスアンドレースの25</t>
  </si>
  <si>
    <t xml:space="preserve">キズナ</t>
  </si>
  <si>
    <t xml:space="preserve">Flower Alley</t>
  </si>
  <si>
    <t xml:space="preserve">ノーザンF*</t>
  </si>
  <si>
    <t xml:space="preserve">加藤士津八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</si>
  <si>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</si>
  <si>
    <t xml:space="preserve">アールブリュットの25</t>
  </si>
  <si>
    <t xml:space="preserve">マクフィ</t>
  </si>
  <si>
    <t xml:space="preserve">田中博康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</si>
  <si>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444kg</t>
    </r>
  </si>
  <si>
    <t xml:space="preserve">シーリアの25</t>
  </si>
  <si>
    <t xml:space="preserve">キングカメハメハ</t>
  </si>
  <si>
    <t xml:space="preserve">辻哲英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</si>
  <si>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</t>
    </r>
  </si>
  <si>
    <t xml:space="preserve">プレシャライジングの25</t>
  </si>
  <si>
    <t xml:space="preserve">Henrythenavigator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</si>
  <si>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452kg</t>
    </r>
  </si>
  <si>
    <t xml:space="preserve">ハープスターの25</t>
  </si>
  <si>
    <t xml:space="preserve">エピファネイア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</si>
  <si>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443kg</t>
    </r>
  </si>
  <si>
    <t xml:space="preserve">コルコバードの25</t>
  </si>
  <si>
    <t xml:space="preserve">ステイゴールド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</si>
  <si>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479kg</t>
    </r>
  </si>
  <si>
    <t xml:space="preserve">ファーストフォリオの25</t>
  </si>
  <si>
    <t xml:space="preserve">コントレイル</t>
  </si>
  <si>
    <t xml:space="preserve">青鹿</t>
  </si>
  <si>
    <t xml:space="preserve">堀宣行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</si>
  <si>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</t>
    </r>
  </si>
  <si>
    <t xml:space="preserve">アトミカオロの25</t>
  </si>
  <si>
    <t xml:space="preserve">Orpen</t>
  </si>
  <si>
    <t xml:space="preserve">上原佑紀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</si>
  <si>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467kg</t>
    </r>
  </si>
  <si>
    <t xml:space="preserve">レッドティーの25</t>
  </si>
  <si>
    <t xml:space="preserve">スワーヴリチャード</t>
  </si>
  <si>
    <t xml:space="preserve">Sakhee</t>
  </si>
  <si>
    <t xml:space="preserve">斎藤誠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</si>
  <si>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438kg</t>
    </r>
  </si>
  <si>
    <t xml:space="preserve">エルカスティージョの25</t>
  </si>
  <si>
    <t xml:space="preserve">加藤征弘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</si>
  <si>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471kg</t>
    </r>
  </si>
  <si>
    <t xml:space="preserve">プルメリアスターの25</t>
  </si>
  <si>
    <t xml:space="preserve">ゼンノロブロイ</t>
  </si>
  <si>
    <t xml:space="preserve">千葉直人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</si>
  <si>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436kg</t>
    </r>
  </si>
  <si>
    <t xml:space="preserve">マハーバーラタの25</t>
  </si>
  <si>
    <t xml:space="preserve">青木孝文</t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</si>
  <si>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</t>
    </r>
  </si>
  <si>
    <t xml:space="preserve">アーデルハイトの25</t>
  </si>
  <si>
    <t xml:space="preserve">サートゥルナーリア</t>
  </si>
  <si>
    <t xml:space="preserve">アグネスタキオン</t>
  </si>
  <si>
    <t xml:space="preserve">高柳瑞樹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</si>
  <si>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431kg</t>
    </r>
  </si>
  <si>
    <t xml:space="preserve">リカビトスの25</t>
  </si>
  <si>
    <t xml:space="preserve">シュネルマイスター</t>
  </si>
  <si>
    <t xml:space="preserve">ディープブリランテ</t>
  </si>
  <si>
    <t xml:space="preserve">奥村武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</si>
  <si>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歳・価格帯○</t>
    </r>
  </si>
  <si>
    <t xml:space="preserve">ゴールドティアの25</t>
  </si>
  <si>
    <t xml:space="preserve">アドマイヤマーズ</t>
  </si>
  <si>
    <t xml:space="preserve">松尾卓哉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</si>
  <si>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442kg</t>
    </r>
  </si>
  <si>
    <t xml:space="preserve">パドゥヴァルスの25</t>
  </si>
  <si>
    <t xml:space="preserve">勢司和浩</t>
  </si>
  <si>
    <t xml:space="preserve">アンフィトリテの25</t>
  </si>
  <si>
    <t xml:space="preserve">モーリス</t>
  </si>
  <si>
    <t xml:space="preserve">林徹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</si>
  <si>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447kg</t>
    </r>
  </si>
  <si>
    <t xml:space="preserve">ショウナンパンドラの25</t>
  </si>
  <si>
    <t xml:space="preserve">中舘英二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</si>
  <si>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</t>
    </r>
  </si>
  <si>
    <t xml:space="preserve">ブロンディーヴァの25</t>
  </si>
  <si>
    <t xml:space="preserve">ニューイヤーズデイ</t>
  </si>
  <si>
    <t xml:space="preserve">スマートファルコン</t>
  </si>
  <si>
    <t xml:space="preserve">高木登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</si>
  <si>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474kg</t>
    </r>
  </si>
  <si>
    <t xml:space="preserve">グリューヴァインの25</t>
  </si>
  <si>
    <t xml:space="preserve">ゴールドアリュール</t>
  </si>
  <si>
    <t xml:space="preserve">戸田博文</t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</si>
  <si>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432kg</t>
    </r>
  </si>
  <si>
    <t xml:space="preserve">モンペルデュの25</t>
  </si>
  <si>
    <t xml:space="preserve">リアルスティール</t>
  </si>
  <si>
    <t xml:space="preserve">Cairo Prince</t>
  </si>
  <si>
    <t xml:space="preserve">栗田徹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</si>
  <si>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</t>
    </r>
  </si>
  <si>
    <t xml:space="preserve">ゴールデンプルーフの25</t>
  </si>
  <si>
    <t xml:space="preserve">トーセンジョーダン</t>
  </si>
  <si>
    <t xml:space="preserve">蛯名正義</t>
  </si>
  <si>
    <t xml:space="preserve">サンクテュエールの25</t>
  </si>
  <si>
    <t xml:space="preserve">ドレフォン</t>
  </si>
  <si>
    <t xml:space="preserve">西田雄一郎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</si>
  <si>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</t>
    </r>
  </si>
  <si>
    <t xml:space="preserve">デイトユアドリームの25</t>
  </si>
  <si>
    <t xml:space="preserve">ルヴァンスレーヴ</t>
  </si>
  <si>
    <t xml:space="preserve">トワイニング</t>
  </si>
  <si>
    <t xml:space="preserve">金成貴史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</si>
  <si>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</t>
    </r>
  </si>
  <si>
    <t xml:space="preserve">クルミナルの25</t>
  </si>
  <si>
    <t xml:space="preserve">ウエストオーバー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</si>
  <si>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487kg</t>
    </r>
  </si>
  <si>
    <t xml:space="preserve">メルヴィルの25</t>
  </si>
  <si>
    <t xml:space="preserve">クリソベリル</t>
  </si>
  <si>
    <t xml:space="preserve">ミッキーアイル</t>
  </si>
  <si>
    <t xml:space="preserve">高橋文雅</t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</si>
  <si>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</si>
  <si>
    <t xml:space="preserve">ナンシーフロムナイロビの25</t>
  </si>
  <si>
    <t xml:space="preserve">パレスマリス</t>
  </si>
  <si>
    <t xml:space="preserve">Sixties Icon</t>
  </si>
  <si>
    <t xml:space="preserve">ビッグレッドF*</t>
  </si>
  <si>
    <t xml:space="preserve">嘉藤貴行</t>
  </si>
  <si>
    <t xml:space="preserve">価格帯○</t>
  </si>
  <si>
    <t xml:space="preserve">シーズンズギフトの25</t>
  </si>
  <si>
    <t xml:space="preserve">ピクシーナイト</t>
  </si>
  <si>
    <t xml:space="preserve">黒岩陽一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</si>
  <si>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489kg</t>
    </r>
  </si>
  <si>
    <t xml:space="preserve">バイラオーラの25</t>
  </si>
  <si>
    <t xml:space="preserve">ホットロッドチャーリー</t>
  </si>
  <si>
    <t xml:space="preserve">竹内正洋</t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</si>
  <si>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</si>
  <si>
    <t xml:space="preserve">シャトンアンジュの25</t>
  </si>
  <si>
    <t xml:space="preserve">ルーラーシップ</t>
  </si>
  <si>
    <t xml:space="preserve">柄崎将寿</t>
  </si>
  <si>
    <t xml:space="preserve">セレナズヴォイスの25</t>
  </si>
  <si>
    <t xml:space="preserve">チュウワウィザード</t>
  </si>
  <si>
    <t xml:space="preserve">オナーコード</t>
  </si>
  <si>
    <t xml:space="preserve">白老F</t>
  </si>
  <si>
    <r>
      <rPr>
        <sz val="11"/>
        <rFont val="WenQuanYi Zen Hei"/>
        <family val="2"/>
      </rPr>
      <t xml:space="preserve">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457kg</t>
    </r>
  </si>
  <si>
    <t xml:space="preserve">ジェムフェザーの25</t>
  </si>
  <si>
    <t xml:space="preserve">マジェスティックウォリアー</t>
  </si>
  <si>
    <t xml:space="preserve">伊藤大士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</si>
  <si>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456kg</t>
    </r>
  </si>
  <si>
    <t xml:space="preserve">シャイントレイルの25</t>
  </si>
  <si>
    <t xml:space="preserve">ヴィクトワールピサ</t>
  </si>
  <si>
    <t xml:space="preserve">矢野英一</t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</si>
  <si>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440kg</t>
    </r>
  </si>
  <si>
    <t xml:space="preserve">パストフォリアの25</t>
  </si>
  <si>
    <t xml:space="preserve">リオンディーズ</t>
  </si>
  <si>
    <t xml:space="preserve">シンボリクリスエス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</si>
  <si>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438kg</t>
    </r>
  </si>
  <si>
    <t xml:space="preserve">○外ビディデュークの25</t>
  </si>
  <si>
    <t xml:space="preserve">Forte</t>
  </si>
  <si>
    <t xml:space="preserve">Bayern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</si>
  <si>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歳・価格帯○</t>
    </r>
  </si>
  <si>
    <t xml:space="preserve">プロスペラスヴォヤージの25</t>
  </si>
  <si>
    <t xml:space="preserve">Kingman</t>
  </si>
  <si>
    <t xml:space="preserve">Zoffany</t>
  </si>
  <si>
    <t xml:space="preserve">手塚貴久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</si>
  <si>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445kg</t>
    </r>
  </si>
  <si>
    <t xml:space="preserve">フォトコールの25</t>
  </si>
  <si>
    <t xml:space="preserve">Galileo</t>
  </si>
  <si>
    <t xml:space="preserve">関西</t>
  </si>
  <si>
    <t xml:space="preserve">中内田充正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</si>
  <si>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</si>
  <si>
    <t xml:space="preserve">レシステンシアの25</t>
  </si>
  <si>
    <t xml:space="preserve">松下武士</t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</si>
  <si>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</t>
    </r>
  </si>
  <si>
    <t xml:space="preserve">リスグラシューの25</t>
  </si>
  <si>
    <t xml:space="preserve">ハーツクライ</t>
  </si>
  <si>
    <t xml:space="preserve">矢作芳人</t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</si>
  <si>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452kg</t>
    </r>
  </si>
  <si>
    <t xml:space="preserve">カイゼリンの25</t>
  </si>
  <si>
    <t xml:space="preserve">ヴェラアズール</t>
  </si>
  <si>
    <t xml:space="preserve">アドマイヤベガ</t>
  </si>
  <si>
    <t xml:space="preserve">西園翔太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</si>
  <si>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475kg</t>
    </r>
  </si>
  <si>
    <t xml:space="preserve">ライティアの25</t>
  </si>
  <si>
    <t xml:space="preserve">武幸四郎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</si>
  <si>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445kg</t>
    </r>
  </si>
  <si>
    <t xml:space="preserve">シンハライトの25</t>
  </si>
  <si>
    <t xml:space="preserve">斉藤崇史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</si>
  <si>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442kg</t>
    </r>
  </si>
  <si>
    <t xml:space="preserve">エスティタートの25</t>
  </si>
  <si>
    <t xml:space="preserve">上村洋行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</si>
  <si>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480kg</t>
    </r>
  </si>
  <si>
    <t xml:space="preserve">スウィッチインタイムの25</t>
  </si>
  <si>
    <t xml:space="preserve">池添学</t>
  </si>
  <si>
    <t xml:space="preserve">◎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</si>
  <si>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466kg</t>
    </r>
  </si>
  <si>
    <t xml:space="preserve">ファハンムーラの25</t>
  </si>
  <si>
    <t xml:space="preserve">English Channel</t>
  </si>
  <si>
    <t xml:space="preserve">パカパカF*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</si>
  <si>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480kg</t>
    </r>
  </si>
  <si>
    <t xml:space="preserve">ストゥーティの25</t>
  </si>
  <si>
    <t xml:space="preserve">福永祐一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</si>
  <si>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463kg</t>
    </r>
  </si>
  <si>
    <t xml:space="preserve">ウィンターパワーの25</t>
  </si>
  <si>
    <t xml:space="preserve">Bungle Inthejungle</t>
  </si>
  <si>
    <t xml:space="preserve">友道康夫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</si>
  <si>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452kg</t>
    </r>
  </si>
  <si>
    <t xml:space="preserve">マルシュロレーヌの25</t>
  </si>
  <si>
    <t xml:space="preserve">オルフェーヴル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</si>
  <si>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430kg</t>
    </r>
  </si>
  <si>
    <t xml:space="preserve">レイパパレの25</t>
  </si>
  <si>
    <t xml:space="preserve">高野友和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</si>
  <si>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</t>
    </r>
  </si>
  <si>
    <t xml:space="preserve">ククナの25</t>
  </si>
  <si>
    <t xml:space="preserve">四位洋文</t>
  </si>
  <si>
    <t xml:space="preserve">コンセッションズの25</t>
  </si>
  <si>
    <t xml:space="preserve">チャンピオンズF*</t>
  </si>
  <si>
    <t xml:space="preserve">寺島良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</si>
  <si>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歳・価格帯○</t>
    </r>
  </si>
  <si>
    <t xml:space="preserve">マラコスタムブラダの25</t>
  </si>
  <si>
    <t xml:space="preserve">Lizard Island</t>
  </si>
  <si>
    <t xml:space="preserve">エクシードリミッツの25</t>
  </si>
  <si>
    <t xml:space="preserve">Exceed And Excel</t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</si>
  <si>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446kg</t>
    </r>
  </si>
  <si>
    <t xml:space="preserve">ドナウエレンの25</t>
  </si>
  <si>
    <t xml:space="preserve">池江泰寿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</si>
  <si>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457kg</t>
    </r>
  </si>
  <si>
    <t xml:space="preserve">イリュミナンスの25</t>
  </si>
  <si>
    <t xml:space="preserve">マンハッタンカフェ</t>
  </si>
  <si>
    <t xml:space="preserve">松永幹夫</t>
  </si>
  <si>
    <t xml:space="preserve">アヴェンチュラの25</t>
  </si>
  <si>
    <t xml:space="preserve">ジャングルポケット</t>
  </si>
  <si>
    <t xml:space="preserve">武英智</t>
  </si>
  <si>
    <t xml:space="preserve">ブルーメンクローネの25</t>
  </si>
  <si>
    <t xml:space="preserve">小林真也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</si>
  <si>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506kg</t>
    </r>
  </si>
  <si>
    <t xml:space="preserve">ブリンクの25</t>
  </si>
  <si>
    <t xml:space="preserve">坂口智康</t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</si>
  <si>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447kg</t>
    </r>
  </si>
  <si>
    <t xml:space="preserve">メサルティムの25</t>
  </si>
  <si>
    <t xml:space="preserve">杉山佳明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</si>
  <si>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447kg</t>
    </r>
  </si>
  <si>
    <t xml:space="preserve">コンダクトレスの25</t>
  </si>
  <si>
    <t xml:space="preserve">ホワイトマズル</t>
  </si>
  <si>
    <t xml:space="preserve">橋口慎介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</si>
  <si>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447kg</t>
    </r>
  </si>
  <si>
    <t xml:space="preserve">ラクスバラディーの25</t>
  </si>
  <si>
    <t xml:space="preserve">ドゥラメンテ</t>
  </si>
  <si>
    <t xml:space="preserve">長谷川浩大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</si>
  <si>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447kg</t>
    </r>
  </si>
  <si>
    <t xml:space="preserve">フィニフティの25</t>
  </si>
  <si>
    <t xml:space="preserve">ナダル</t>
  </si>
  <si>
    <t xml:space="preserve">藤原英昭</t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</si>
  <si>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492kg</t>
    </r>
  </si>
  <si>
    <t xml:space="preserve">リュラの25</t>
  </si>
  <si>
    <t xml:space="preserve">佐藤悠太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</si>
  <si>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458kg</t>
    </r>
  </si>
  <si>
    <t xml:space="preserve">サンブルエミューズの25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</si>
  <si>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454kg</t>
    </r>
  </si>
  <si>
    <t xml:space="preserve">ヴィルデローゼの25</t>
  </si>
  <si>
    <t xml:space="preserve">エンパイアメーカー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</si>
  <si>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448kg</t>
    </r>
  </si>
  <si>
    <t xml:space="preserve">ダイアナブライトの25</t>
  </si>
  <si>
    <t xml:space="preserve">石坂公一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</si>
  <si>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440kg</t>
    </r>
  </si>
  <si>
    <t xml:space="preserve">クロワドフェールの25</t>
  </si>
  <si>
    <t xml:space="preserve">清水久詞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</si>
  <si>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455kg</t>
    </r>
  </si>
  <si>
    <t xml:space="preserve">ヴァルキュリアの25</t>
  </si>
  <si>
    <t xml:space="preserve">Tapit</t>
  </si>
  <si>
    <t xml:space="preserve">高柳大輔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</si>
  <si>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458kg</t>
    </r>
  </si>
  <si>
    <t xml:space="preserve">スピードリッパーの25</t>
  </si>
  <si>
    <t xml:space="preserve">ファルブラヴ</t>
  </si>
  <si>
    <t xml:space="preserve">辻野泰之</t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</si>
  <si>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430kg</t>
    </r>
  </si>
  <si>
    <t xml:space="preserve">キズナIIの25</t>
  </si>
  <si>
    <t xml:space="preserve">タイトルホルダー</t>
  </si>
  <si>
    <t xml:space="preserve">Hurricane Run</t>
  </si>
  <si>
    <t xml:space="preserve">北洋牧場*</t>
  </si>
  <si>
    <r>
      <rPr>
        <sz val="11"/>
        <rFont val="WenQuanYi Zen Hei"/>
        <family val="2"/>
      </rPr>
      <t xml:space="preserve">価格帯○・</t>
    </r>
    <r>
      <rPr>
        <sz val="11"/>
        <rFont val="ＭＳ ゴシック"/>
        <family val="0"/>
        <charset val="1"/>
      </rPr>
      <t xml:space="preserve">449kg</t>
    </r>
  </si>
  <si>
    <t xml:space="preserve">ベデザンジュの25</t>
  </si>
  <si>
    <t xml:space="preserve">田中克典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</si>
  <si>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432kg</t>
    </r>
  </si>
  <si>
    <t xml:space="preserve">エリスライトの25</t>
  </si>
  <si>
    <t xml:space="preserve">藤岡健一</t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</si>
  <si>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歳・価格帯○</t>
    </r>
  </si>
  <si>
    <t xml:space="preserve">クルークハイトの25</t>
  </si>
  <si>
    <t xml:space="preserve">クロフネ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</si>
  <si>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470kg</t>
    </r>
  </si>
  <si>
    <t xml:space="preserve">チカレンヌの25</t>
  </si>
  <si>
    <t xml:space="preserve">小椋研介</t>
  </si>
  <si>
    <t xml:space="preserve">435kg</t>
  </si>
  <si>
    <t xml:space="preserve">リラヴァティの25</t>
  </si>
  <si>
    <t xml:space="preserve">安田翔伍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</si>
  <si>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470kg</t>
    </r>
  </si>
  <si>
    <t xml:space="preserve">ローズノーブルの25</t>
  </si>
  <si>
    <t xml:space="preserve">杉山晴紀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</si>
  <si>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</t>
    </r>
  </si>
  <si>
    <t xml:space="preserve">バウンスシャッセの25</t>
  </si>
  <si>
    <t xml:space="preserve">吉岡辰弥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</si>
  <si>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442kg</t>
    </r>
  </si>
  <si>
    <t xml:space="preserve">ヴィータアレグリアの25</t>
  </si>
  <si>
    <t xml:space="preserve">カフェファラオ</t>
  </si>
  <si>
    <t xml:space="preserve">ネオユニヴァース</t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</si>
  <si>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436kg</t>
    </r>
  </si>
  <si>
    <t xml:space="preserve">アドヴェントスの25</t>
  </si>
  <si>
    <t xml:space="preserve">グレナディアガーズ</t>
  </si>
  <si>
    <t xml:space="preserve">小栗実</t>
  </si>
  <si>
    <t xml:space="preserve">NF</t>
  </si>
  <si>
    <t xml:space="preserve">アーズローヴァーの25</t>
  </si>
  <si>
    <t xml:space="preserve">サトノアラジン</t>
  </si>
  <si>
    <t xml:space="preserve">キンシャサノキセキ</t>
  </si>
  <si>
    <t xml:space="preserve">西村真幸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</si>
  <si>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460kg</t>
    </r>
  </si>
  <si>
    <t xml:space="preserve">ターシャズスターの25</t>
  </si>
  <si>
    <t xml:space="preserve">Spanish Steps</t>
  </si>
  <si>
    <t xml:space="preserve">地方</t>
  </si>
  <si>
    <t xml:space="preserve">門別・田中淳司厩舎or大井・渡邉和雄厩舎（外厩）</t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</si>
  <si>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472kg</t>
    </r>
  </si>
  <si>
    <t xml:space="preserve">ブランシェクールの25</t>
  </si>
  <si>
    <t xml:space="preserve">ジュンライトボルト</t>
  </si>
  <si>
    <t xml:space="preserve">門別・田中淳司厩舎or川崎・内田勝義厩舎（外厩）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</si>
  <si>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490kg</t>
    </r>
  </si>
  <si>
    <t xml:space="preserve">ジュールヒートの25</t>
  </si>
  <si>
    <t xml:space="preserve">門別・田中淳司厩舎or船橋・川島正一厩舎（外厩）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</si>
  <si>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437kg</t>
    </r>
  </si>
  <si>
    <t xml:space="preserve">ペルレンケッテの25</t>
  </si>
  <si>
    <t xml:space="preserve">門別・田中淳司厩舎or大井・荒山勝徳厩舎</t>
  </si>
  <si>
    <t xml:space="preserve">グラッブユアコートの25</t>
  </si>
  <si>
    <t xml:space="preserve">マインドユアビスケッツ</t>
  </si>
  <si>
    <t xml:space="preserve">エレガントマナーの25</t>
  </si>
  <si>
    <t xml:space="preserve">モーニン</t>
  </si>
  <si>
    <t xml:space="preserve">門別・田中淳司厩舎or大井・藤田輝信厩舎（外厩）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</si>
  <si>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476kg</t>
    </r>
  </si>
  <si>
    <t xml:space="preserve">キャロット出資 検討基準（2020〜2022年募集・全276頭のデビュー後成績分析より）</t>
  </si>
  <si>
    <t xml:space="preserve">全体基準値: 勝ち上がり率65% / 賞金が募集総額を超えた馬24% / 重賞勝ち馬16頭</t>
  </si>
  <si>
    <t xml:space="preserve">※賞金=中央+地方の獲得賞金(2026/7時点)。回収率は進上金・維持費を含まない「賞金/募集総額」の倍率。</t>
  </si>
  <si>
    <t xml:space="preserve">◆スコア基準(各1点・計6点)</t>
  </si>
  <si>
    <t xml:space="preserve">条件</t>
  </si>
  <si>
    <t xml:space="preserve">根拠(勝ち上がり率/回収≥1率)</t>
  </si>
  <si>
    <r>
      <rPr>
        <sz val="11"/>
        <rFont val="ＭＳ ゴシック"/>
        <family val="0"/>
        <charset val="1"/>
      </rPr>
      <t xml:space="preserve">1. </t>
    </r>
    <r>
      <rPr>
        <sz val="11"/>
        <rFont val="WenQuanYi Zen Hei"/>
        <family val="2"/>
      </rPr>
      <t xml:space="preserve">性別</t>
    </r>
  </si>
  <si>
    <t xml:space="preserve">牡馬</t>
  </si>
  <si>
    <t xml:space="preserve">牡74%・30% vs メス56%・20%。重賞16頭中13頭が牡</t>
  </si>
  <si>
    <r>
      <rPr>
        <sz val="11"/>
        <rFont val="ＭＳ ゴシック"/>
        <family val="0"/>
        <charset val="1"/>
      </rPr>
      <t xml:space="preserve">2. </t>
    </r>
    <r>
      <rPr>
        <sz val="11"/>
        <rFont val="WenQuanYi Zen Hei"/>
        <family val="2"/>
      </rPr>
      <t xml:space="preserve">生まれ月</t>
    </r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</si>
  <si>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〜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月生まれ</t>
    </r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</si>
  <si>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</t>
    </r>
    <r>
      <rPr>
        <sz val="11"/>
        <rFont val="ＭＳ ゴシック"/>
        <family val="0"/>
        <charset val="1"/>
      </rPr>
      <t xml:space="preserve">74%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29%/4</t>
    </r>
    <r>
      <rPr>
        <sz val="11"/>
        <rFont val="WenQuanYi Zen Hei"/>
        <family val="2"/>
      </rPr>
      <t xml:space="preserve">月</t>
    </r>
    <r>
      <rPr>
        <sz val="11"/>
        <rFont val="ＭＳ ゴシック"/>
        <family val="0"/>
        <charset val="1"/>
      </rPr>
      <t xml:space="preserve">66%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29% vs 2</t>
    </r>
    <r>
      <rPr>
        <sz val="11"/>
        <rFont val="WenQuanYi Zen Hei"/>
        <family val="2"/>
      </rPr>
      <t xml:space="preserve">月</t>
    </r>
    <r>
      <rPr>
        <sz val="11"/>
        <rFont val="ＭＳ ゴシック"/>
        <family val="0"/>
        <charset val="1"/>
      </rPr>
      <t xml:space="preserve">55%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19%</t>
    </r>
  </si>
  <si>
    <r>
      <rPr>
        <sz val="11"/>
        <rFont val="ＭＳ ゴシック"/>
        <family val="0"/>
        <charset val="1"/>
      </rPr>
      <t xml:space="preserve">3. </t>
    </r>
    <r>
      <rPr>
        <sz val="11"/>
        <rFont val="WenQuanYi Zen Hei"/>
        <family val="2"/>
      </rPr>
      <t xml:space="preserve">生産</t>
    </r>
  </si>
  <si>
    <t xml:space="preserve">ノーザンＦ</t>
  </si>
  <si>
    <t xml:space="preserve">重賞勝ち16頭すべてノーザンＦ系。その他牧場は重賞0</t>
  </si>
  <si>
    <r>
      <rPr>
        <sz val="11"/>
        <rFont val="ＭＳ ゴシック"/>
        <family val="0"/>
        <charset val="1"/>
      </rPr>
      <t xml:space="preserve">4. </t>
    </r>
    <r>
      <rPr>
        <sz val="11"/>
        <rFont val="WenQuanYi Zen Hei"/>
        <family val="2"/>
      </rPr>
      <t xml:space="preserve">母年齢</t>
    </r>
  </si>
  <si>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〜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</t>
    </r>
    <r>
      <rPr>
        <sz val="11"/>
        <rFont val="ＭＳ 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産駒誕生時</t>
    </r>
    <r>
      <rPr>
        <sz val="11"/>
        <rFont val="ＭＳ ゴシック"/>
        <family val="0"/>
        <charset val="1"/>
      </rPr>
      <t xml:space="preserve">)</t>
    </r>
  </si>
  <si>
    <r>
      <rPr>
        <sz val="11"/>
        <rFont val="ＭＳ ゴシック"/>
        <family val="0"/>
        <charset val="1"/>
      </rPr>
      <t xml:space="preserve">67%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30%</t>
    </r>
    <r>
      <rPr>
        <sz val="11"/>
        <rFont val="WenQuanYi Zen Hei"/>
        <family val="2"/>
      </rPr>
      <t xml:space="preserve">で全帯域のピーク。</t>
    </r>
    <r>
      <rPr>
        <sz val="11"/>
        <rFont val="ＭＳ ゴシック"/>
        <family val="0"/>
        <charset val="1"/>
      </rPr>
      <t xml:space="preserve">7</t>
    </r>
    <r>
      <rPr>
        <sz val="11"/>
        <rFont val="WenQuanYi Zen Hei"/>
        <family val="2"/>
      </rPr>
      <t xml:space="preserve">歳以下</t>
    </r>
    <r>
      <rPr>
        <sz val="11"/>
        <rFont val="ＭＳ ゴシック"/>
        <family val="0"/>
        <charset val="1"/>
      </rPr>
      <t xml:space="preserve">62%/16</t>
    </r>
    <r>
      <rPr>
        <sz val="11"/>
        <rFont val="WenQuanYi Zen Hei"/>
        <family val="2"/>
      </rPr>
      <t xml:space="preserve">歳</t>
    </r>
    <r>
      <rPr>
        <sz val="11"/>
        <rFont val="ＭＳ ゴシック"/>
        <family val="0"/>
        <charset val="1"/>
      </rPr>
      <t xml:space="preserve">+61%</t>
    </r>
  </si>
  <si>
    <r>
      <rPr>
        <sz val="11"/>
        <rFont val="ＭＳ ゴシック"/>
        <family val="0"/>
        <charset val="1"/>
      </rPr>
      <t xml:space="preserve">5. </t>
    </r>
    <r>
      <rPr>
        <sz val="11"/>
        <rFont val="WenQuanYi Zen Hei"/>
        <family val="2"/>
      </rPr>
      <t xml:space="preserve">募集総額</t>
    </r>
  </si>
  <si>
    <r>
      <rPr>
        <sz val="11"/>
        <rFont val="ＭＳ ゴシック"/>
        <family val="0"/>
        <charset val="1"/>
      </rPr>
      <t xml:space="preserve">2500</t>
    </r>
    <r>
      <rPr>
        <sz val="11"/>
        <rFont val="WenQuanYi Zen Hei"/>
        <family val="2"/>
      </rPr>
      <t xml:space="preserve">〜</t>
    </r>
    <r>
      <rPr>
        <sz val="11"/>
        <rFont val="ＭＳ ゴシック"/>
        <family val="0"/>
        <charset val="1"/>
      </rPr>
      <t xml:space="preserve">5999</t>
    </r>
    <r>
      <rPr>
        <sz val="11"/>
        <rFont val="WenQuanYi Zen Hei"/>
        <family val="2"/>
      </rPr>
      <t xml:space="preserve">万円</t>
    </r>
  </si>
  <si>
    <r>
      <rPr>
        <sz val="11"/>
        <rFont val="ＭＳ ゴシック"/>
        <family val="0"/>
        <charset val="1"/>
      </rPr>
      <t xml:space="preserve">2500-3999</t>
    </r>
    <r>
      <rPr>
        <sz val="11"/>
        <rFont val="WenQuanYi Zen Hei"/>
        <family val="2"/>
      </rPr>
      <t xml:space="preserve">万が最良</t>
    </r>
    <r>
      <rPr>
        <sz val="11"/>
        <rFont val="ＭＳ ゴシック"/>
        <family val="0"/>
        <charset val="1"/>
      </rPr>
      <t xml:space="preserve">(71%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32%)</t>
    </r>
    <r>
      <rPr>
        <sz val="11"/>
        <rFont val="WenQuanYi Zen Hei"/>
        <family val="2"/>
      </rPr>
      <t xml:space="preserve">。</t>
    </r>
    <r>
      <rPr>
        <sz val="11"/>
        <rFont val="ＭＳ ゴシック"/>
        <family val="0"/>
        <charset val="1"/>
      </rPr>
      <t xml:space="preserve">2500</t>
    </r>
    <r>
      <rPr>
        <sz val="11"/>
        <rFont val="WenQuanYi Zen Hei"/>
        <family val="2"/>
      </rPr>
      <t xml:space="preserve">万未満</t>
    </r>
    <r>
      <rPr>
        <sz val="11"/>
        <rFont val="ＭＳ ゴシック"/>
        <family val="0"/>
        <charset val="1"/>
      </rPr>
      <t xml:space="preserve">55%/8000</t>
    </r>
    <r>
      <rPr>
        <sz val="11"/>
        <rFont val="WenQuanYi Zen Hei"/>
        <family val="2"/>
      </rPr>
      <t xml:space="preserve">万</t>
    </r>
    <r>
      <rPr>
        <sz val="11"/>
        <rFont val="ＭＳ ゴシック"/>
        <family val="0"/>
        <charset val="1"/>
      </rPr>
      <t xml:space="preserve">+</t>
    </r>
    <r>
      <rPr>
        <sz val="11"/>
        <rFont val="WenQuanYi Zen Hei"/>
        <family val="2"/>
      </rPr>
      <t xml:space="preserve">は回収率最低</t>
    </r>
  </si>
  <si>
    <r>
      <rPr>
        <sz val="11"/>
        <rFont val="ＭＳ ゴシック"/>
        <family val="0"/>
        <charset val="1"/>
      </rPr>
      <t xml:space="preserve">6. </t>
    </r>
    <r>
      <rPr>
        <sz val="11"/>
        <rFont val="WenQuanYi Zen Hei"/>
        <family val="2"/>
      </rPr>
      <t xml:space="preserve">馬体重</t>
    </r>
  </si>
  <si>
    <t xml:space="preserve">募集時430kg以上</t>
  </si>
  <si>
    <r>
      <rPr>
        <sz val="11"/>
        <rFont val="ＭＳ ゴシック"/>
        <family val="0"/>
        <charset val="1"/>
      </rPr>
      <t xml:space="preserve">430kg</t>
    </r>
    <r>
      <rPr>
        <sz val="11"/>
        <rFont val="WenQuanYi Zen Hei"/>
        <family val="2"/>
      </rPr>
      <t xml:space="preserve">未満</t>
    </r>
    <r>
      <rPr>
        <sz val="11"/>
        <rFont val="ＭＳ ゴシック"/>
        <family val="0"/>
        <charset val="1"/>
      </rPr>
      <t xml:space="preserve">51%(</t>
    </r>
    <r>
      <rPr>
        <sz val="11"/>
        <rFont val="WenQuanYi Zen Hei"/>
        <family val="2"/>
      </rPr>
      <t xml:space="preserve">牝は</t>
    </r>
    <r>
      <rPr>
        <sz val="11"/>
        <rFont val="ＭＳ ゴシック"/>
        <family val="0"/>
        <charset val="1"/>
      </rPr>
      <t xml:space="preserve">42%)/430-459</t>
    </r>
    <r>
      <rPr>
        <sz val="11"/>
        <rFont val="WenQuanYi Zen Hei"/>
        <family val="2"/>
      </rPr>
      <t xml:space="preserve">は</t>
    </r>
    <r>
      <rPr>
        <sz val="11"/>
        <rFont val="ＭＳ ゴシック"/>
        <family val="0"/>
        <charset val="1"/>
      </rPr>
      <t xml:space="preserve">74%</t>
    </r>
    <r>
      <rPr>
        <sz val="11"/>
        <rFont val="WenQuanYi Zen Hei"/>
        <family val="2"/>
      </rPr>
      <t xml:space="preserve">。※牡は</t>
    </r>
    <r>
      <rPr>
        <sz val="11"/>
        <rFont val="ＭＳ ゴシック"/>
        <family val="0"/>
        <charset val="1"/>
      </rPr>
      <t xml:space="preserve">420kg</t>
    </r>
    <r>
      <rPr>
        <sz val="11"/>
        <rFont val="WenQuanYi Zen Hei"/>
        <family val="2"/>
      </rPr>
      <t xml:space="preserve">台でも大物例あり</t>
    </r>
    <r>
      <rPr>
        <sz val="11"/>
        <rFont val="ＭＳ 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シックスペンス・ドゥレッツァ</t>
    </r>
    <r>
      <rPr>
        <sz val="11"/>
        <rFont val="ＭＳ ゴシック"/>
        <family val="0"/>
        <charset val="1"/>
      </rPr>
      <t xml:space="preserve">)</t>
    </r>
  </si>
  <si>
    <t xml:space="preserve">◆スコア別の過去実績</t>
  </si>
  <si>
    <t xml:space="preserve">スコア5〜6 (56頭)</t>
  </si>
  <si>
    <t xml:space="preserve">勝ち上がり86%・回収≥1が38%・重賞6頭</t>
  </si>
  <si>
    <t xml:space="preserve">中央値ベースの回収も全体の2倍超</t>
  </si>
  <si>
    <t xml:space="preserve">スコア4 (75頭)</t>
  </si>
  <si>
    <t xml:space="preserve">勝ち上がり67%・回収≥1が28%・重賞8頭</t>
  </si>
  <si>
    <t xml:space="preserve">スコア3以下 (145頭)</t>
  </si>
  <si>
    <t xml:space="preserve">勝ち上がり55%・回収≥1が17%・重賞2頭</t>
  </si>
  <si>
    <t xml:space="preserve">特にスコア≤2(67頭)は勝ち上がり52%</t>
  </si>
  <si>
    <t xml:space="preserve">◆父系の傾向(2020-22実績・今年もいる父のみ)</t>
  </si>
  <si>
    <t xml:space="preserve">勝ち上がり56%だが回収≥1が33%・重賞3頭</t>
  </si>
  <si>
    <t xml:space="preserve">当たれば大きい(一発型)</t>
  </si>
  <si>
    <t xml:space="preserve">勝ち上がり76%と高いが平均回収0.55</t>
  </si>
  <si>
    <t xml:space="preserve">手堅いが上値が重い</t>
  </si>
  <si>
    <t xml:space="preserve">勝ち上がり67%・平均回収0.50</t>
  </si>
  <si>
    <t xml:space="preserve">価格が高くなりがちで妙味薄</t>
  </si>
  <si>
    <t xml:space="preserve">勝ち上がり62%・重賞0</t>
  </si>
  <si>
    <t xml:space="preserve">同上</t>
  </si>
  <si>
    <t xml:space="preserve">勝ち上がり64%・回収も平均以下</t>
  </si>
  <si>
    <t xml:space="preserve">勝ち上がり88%・回収≥1が38%</t>
  </si>
  <si>
    <t xml:space="preserve">少数だが優秀</t>
  </si>
  <si>
    <t xml:space="preserve">勝ち上がり57%・重賞2頭(一発型)</t>
  </si>
  <si>
    <t xml:space="preserve">イクイノックスの父。妙味あり</t>
  </si>
  <si>
    <t xml:space="preserve">◆その他の知見</t>
  </si>
  <si>
    <t xml:space="preserve">・関東/関西の差はほぼなし(回収≥1は関西36%とやや上)</t>
  </si>
  <si>
    <t xml:space="preserve">・「母年齢+産駒数」はご自身の仮説通り有効。合計10〜14がピーク(68%・28%)、9以下(若母・初仔)と20以上は割引</t>
  </si>
  <si>
    <t xml:space="preserve">・初仔は勝ち上がり62%と平均以下だがタスティエーラ(初仔・母6歳)の例外あり。母の質が高ければ許容</t>
  </si>
  <si>
    <t xml:space="preserve">・高額馬(8000万+)13頭で回収超えは2頭のみ。「良血高額=走る」は成立していない</t>
  </si>
  <si>
    <t xml:space="preserve">・メスの小柄(430kg未満)は57頭で勝ち上がり42%・回収中央値0.09と最も厳しい組み合わせ→回避推奨</t>
  </si>
  <si>
    <t xml:space="preserve">・2021年にご自身が印を付けた25頭: 大物2頭(タスティエーラ・ラヴェル)を的中。ただし率では印なしと同等で、</t>
  </si>
  <si>
    <t xml:space="preserve">  ドゥレッツァ/スキルヴィング/セラフィックコール(いずれも印なし牡・中価格帯)を取りこぼし→牡の中価格帯は広めに拾うのが吉</t>
  </si>
  <si>
    <t xml:space="preserve">◆注意</t>
  </si>
  <si>
    <t xml:space="preserve">・2022年募集世代(現4〜5歳)はまだ現役が多く、数値は今後上振れし得る</t>
  </si>
  <si>
    <t xml:space="preserve">・メスは引退後の繁殖価値が回収に含まれていないため、実質はやや過小評価</t>
  </si>
  <si>
    <t xml:space="preserve">・種牡馬の顔ぶれは毎年変わるため、父系の傾向は参考程度に</t>
  </si>
  <si>
    <t xml:space="preserve">◆厩舎との相性(2020-22の預託実績・回収≥1は全体平均24%)</t>
  </si>
  <si>
    <t xml:space="preserve">【相性◎】池添学(栗東)</t>
  </si>
  <si>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頭</t>
    </r>
    <r>
      <rPr>
        <sz val="11"/>
        <rFont val="ＭＳ ゴシック"/>
        <family val="0"/>
        <charset val="1"/>
      </rPr>
      <t xml:space="preserve">: </t>
    </r>
    <r>
      <rPr>
        <sz val="11"/>
        <rFont val="WenQuanYi Zen Hei"/>
        <family val="2"/>
      </rPr>
      <t xml:space="preserve">勝ち上がり</t>
    </r>
    <r>
      <rPr>
        <sz val="11"/>
        <rFont val="ＭＳ ゴシック"/>
        <family val="0"/>
        <charset val="1"/>
      </rPr>
      <t xml:space="preserve">78%</t>
    </r>
    <r>
      <rPr>
        <sz val="11"/>
        <rFont val="WenQuanYi Zen Hei"/>
        <family val="2"/>
      </rPr>
      <t xml:space="preserve">・回収≥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が</t>
    </r>
    <r>
      <rPr>
        <sz val="11"/>
        <rFont val="ＭＳ ゴシック"/>
        <family val="0"/>
        <charset val="1"/>
      </rPr>
      <t xml:space="preserve">56%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ret</t>
    </r>
    <r>
      <rPr>
        <sz val="11"/>
        <rFont val="WenQuanYi Zen Hei"/>
        <family val="2"/>
      </rPr>
      <t xml:space="preserve">中央値</t>
    </r>
    <r>
      <rPr>
        <sz val="11"/>
        <rFont val="ＭＳ ゴシック"/>
        <family val="0"/>
        <charset val="1"/>
      </rPr>
      <t xml:space="preserve">1.09</t>
    </r>
  </si>
  <si>
    <t xml:space="preserve">ワールズエンド等。外れが最も少ない</t>
  </si>
  <si>
    <t xml:space="preserve">【相性◎】松永幹夫(栗東)</t>
  </si>
  <si>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頭</t>
    </r>
    <r>
      <rPr>
        <sz val="11"/>
        <rFont val="ＭＳ ゴシック"/>
        <family val="0"/>
        <charset val="1"/>
      </rPr>
      <t xml:space="preserve">: </t>
    </r>
    <r>
      <rPr>
        <sz val="11"/>
        <rFont val="WenQuanYi Zen Hei"/>
        <family val="2"/>
      </rPr>
      <t xml:space="preserve">勝ち上がり</t>
    </r>
    <r>
      <rPr>
        <sz val="11"/>
        <rFont val="ＭＳ ゴシック"/>
        <family val="0"/>
        <charset val="1"/>
      </rPr>
      <t xml:space="preserve">100%</t>
    </r>
    <r>
      <rPr>
        <sz val="11"/>
        <rFont val="WenQuanYi Zen Hei"/>
        <family val="2"/>
      </rPr>
      <t xml:space="preserve">・回収≥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が</t>
    </r>
    <r>
      <rPr>
        <sz val="11"/>
        <rFont val="ＭＳ ゴシック"/>
        <family val="0"/>
        <charset val="1"/>
      </rPr>
      <t xml:space="preserve">38%</t>
    </r>
  </si>
  <si>
    <t xml:space="preserve">トランキリテ、パルクリチュード</t>
  </si>
  <si>
    <t xml:space="preserve">【相性○】木村哲也(美浦)</t>
  </si>
  <si>
    <r>
      <rPr>
        <sz val="11"/>
        <rFont val="ＭＳ ゴシック"/>
        <family val="0"/>
        <charset val="1"/>
      </rPr>
      <t xml:space="preserve">12</t>
    </r>
    <r>
      <rPr>
        <sz val="11"/>
        <rFont val="WenQuanYi Zen Hei"/>
        <family val="2"/>
      </rPr>
      <t xml:space="preserve">頭</t>
    </r>
    <r>
      <rPr>
        <sz val="11"/>
        <rFont val="ＭＳ ゴシック"/>
        <family val="0"/>
        <charset val="1"/>
      </rPr>
      <t xml:space="preserve">: </t>
    </r>
    <r>
      <rPr>
        <sz val="11"/>
        <rFont val="WenQuanYi Zen Hei"/>
        <family val="2"/>
      </rPr>
      <t xml:space="preserve">勝ち上がり</t>
    </r>
    <r>
      <rPr>
        <sz val="11"/>
        <rFont val="ＭＳ ゴシック"/>
        <family val="0"/>
        <charset val="1"/>
      </rPr>
      <t xml:space="preserve">75%</t>
    </r>
    <r>
      <rPr>
        <sz val="11"/>
        <rFont val="WenQuanYi Zen Hei"/>
        <family val="2"/>
      </rPr>
      <t xml:space="preserve">・重賞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頭</t>
    </r>
    <r>
      <rPr>
        <sz val="11"/>
        <rFont val="ＭＳ 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ヘデントール等</t>
    </r>
    <r>
      <rPr>
        <sz val="11"/>
        <rFont val="ＭＳ ゴシック"/>
        <family val="0"/>
        <charset val="1"/>
      </rPr>
      <t xml:space="preserve">)</t>
    </r>
  </si>
  <si>
    <t xml:space="preserve">預託最多で質も高い。高額馬が集まる分、回収率は並</t>
  </si>
  <si>
    <t xml:space="preserve">【相性○】手塚貴久(美浦)</t>
  </si>
  <si>
    <r>
      <rPr>
        <sz val="11"/>
        <rFont val="ＭＳ ゴシック"/>
        <family val="0"/>
        <charset val="1"/>
      </rPr>
      <t xml:space="preserve">6</t>
    </r>
    <r>
      <rPr>
        <sz val="11"/>
        <rFont val="WenQuanYi Zen Hei"/>
        <family val="2"/>
      </rPr>
      <t xml:space="preserve">頭</t>
    </r>
    <r>
      <rPr>
        <sz val="11"/>
        <rFont val="ＭＳ ゴシック"/>
        <family val="0"/>
        <charset val="1"/>
      </rPr>
      <t xml:space="preserve">: </t>
    </r>
    <r>
      <rPr>
        <sz val="11"/>
        <rFont val="WenQuanYi Zen Hei"/>
        <family val="2"/>
      </rPr>
      <t xml:space="preserve">勝ち上がり</t>
    </r>
    <r>
      <rPr>
        <sz val="11"/>
        <rFont val="ＭＳ ゴシック"/>
        <family val="0"/>
        <charset val="1"/>
      </rPr>
      <t xml:space="preserve">83%</t>
    </r>
  </si>
  <si>
    <t xml:space="preserve">回収は平凡だが堅実</t>
  </si>
  <si>
    <t xml:space="preserve">【相性○(少数)】尾関知人・寺島良・鹿戸雄一・黒岩陽一・武幸四郎</t>
  </si>
  <si>
    <t xml:space="preserve">各3-4頭でほぼ全頭勝ち上がり</t>
  </si>
  <si>
    <t xml:space="preserve">ドゥレッツァ(尾関)、セラフィックコール(寺島)、フェブランシェ(黒岩)</t>
  </si>
  <si>
    <t xml:space="preserve">【注意】高野友和(栗東)</t>
  </si>
  <si>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頭</t>
    </r>
    <r>
      <rPr>
        <sz val="11"/>
        <rFont val="ＭＳ ゴシック"/>
        <family val="0"/>
        <charset val="1"/>
      </rPr>
      <t xml:space="preserve">: </t>
    </r>
    <r>
      <rPr>
        <sz val="11"/>
        <rFont val="WenQuanYi Zen Hei"/>
        <family val="2"/>
      </rPr>
      <t xml:space="preserve">勝ち上がり</t>
    </r>
    <r>
      <rPr>
        <sz val="11"/>
        <rFont val="ＭＳ ゴシック"/>
        <family val="0"/>
        <charset val="1"/>
      </rPr>
      <t xml:space="preserve">44%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ret</t>
    </r>
    <r>
      <rPr>
        <sz val="11"/>
        <rFont val="WenQuanYi Zen Hei"/>
        <family val="2"/>
      </rPr>
      <t xml:space="preserve">中央値</t>
    </r>
    <r>
      <rPr>
        <sz val="11"/>
        <rFont val="ＭＳ ゴシック"/>
        <family val="0"/>
        <charset val="1"/>
      </rPr>
      <t xml:space="preserve">0.00</t>
    </r>
  </si>
  <si>
    <t xml:space="preserve">ナミュール1頭が大当たりだが他8頭はほぼ回収ゼロのムラ型</t>
  </si>
  <si>
    <t xml:space="preserve">【注意】池江泰寿(栗東)</t>
  </si>
  <si>
    <r>
      <rPr>
        <sz val="11"/>
        <rFont val="ＭＳ ゴシック"/>
        <family val="0"/>
        <charset val="1"/>
      </rPr>
      <t xml:space="preserve">5</t>
    </r>
    <r>
      <rPr>
        <sz val="11"/>
        <rFont val="WenQuanYi Zen Hei"/>
        <family val="2"/>
      </rPr>
      <t xml:space="preserve">頭</t>
    </r>
    <r>
      <rPr>
        <sz val="11"/>
        <rFont val="ＭＳ ゴシック"/>
        <family val="0"/>
        <charset val="1"/>
      </rPr>
      <t xml:space="preserve">: </t>
    </r>
    <r>
      <rPr>
        <sz val="11"/>
        <rFont val="WenQuanYi Zen Hei"/>
        <family val="2"/>
      </rPr>
      <t xml:space="preserve">回収≥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がゼロ・</t>
    </r>
    <r>
      <rPr>
        <sz val="11"/>
        <rFont val="ＭＳ ゴシック"/>
        <family val="0"/>
        <charset val="1"/>
      </rPr>
      <t xml:space="preserve">ret</t>
    </r>
    <r>
      <rPr>
        <sz val="11"/>
        <rFont val="WenQuanYi Zen Hei"/>
        <family val="2"/>
      </rPr>
      <t xml:space="preserve">平均</t>
    </r>
    <r>
      <rPr>
        <sz val="11"/>
        <rFont val="ＭＳ ゴシック"/>
        <family val="0"/>
        <charset val="1"/>
      </rPr>
      <t xml:space="preserve">0.06</t>
    </r>
  </si>
  <si>
    <t xml:space="preserve">【注意】萩原清(美浦)</t>
  </si>
  <si>
    <r>
      <rPr>
        <sz val="11"/>
        <rFont val="ＭＳ ゴシック"/>
        <family val="0"/>
        <charset val="1"/>
      </rPr>
      <t xml:space="preserve">6</t>
    </r>
    <r>
      <rPr>
        <sz val="11"/>
        <rFont val="WenQuanYi Zen Hei"/>
        <family val="2"/>
      </rPr>
      <t xml:space="preserve">頭</t>
    </r>
    <r>
      <rPr>
        <sz val="11"/>
        <rFont val="ＭＳ ゴシック"/>
        <family val="0"/>
        <charset val="1"/>
      </rPr>
      <t xml:space="preserve">: </t>
    </r>
    <r>
      <rPr>
        <sz val="11"/>
        <rFont val="WenQuanYi Zen Hei"/>
        <family val="2"/>
      </rPr>
      <t xml:space="preserve">勝ち上がり</t>
    </r>
    <r>
      <rPr>
        <sz val="11"/>
        <rFont val="ＭＳ ゴシック"/>
        <family val="0"/>
        <charset val="1"/>
      </rPr>
      <t xml:space="preserve">17%</t>
    </r>
    <r>
      <rPr>
        <sz val="11"/>
        <rFont val="WenQuanYi Zen Hei"/>
        <family val="2"/>
      </rPr>
      <t xml:space="preserve">・回収ゼロ</t>
    </r>
  </si>
  <si>
    <t xml:space="preserve">ワースト</t>
  </si>
  <si>
    <t xml:space="preserve">【注意】宮田敬介・中舘英二・安田隆行</t>
  </si>
  <si>
    <t xml:space="preserve">勝ち上がり40-60%・回収は平均以下</t>
  </si>
  <si>
    <t xml:space="preserve">※各厩舎5-12頭の小標本のため参考程度に。予定厩舎は8月のカタログ発表後に照合を。</t>
  </si>
  <si>
    <t xml:space="preserve">※ベテラン厩舎はJRAの定年(70歳)による解散・転厩リスクがあるため、募集馬の入厩時期と定年時期の関係も確認すること。</t>
  </si>
  <si>
    <t xml:space="preserve">①母馬最優先</t>
  </si>
  <si>
    <t xml:space="preserve">②母馬優先</t>
  </si>
  <si>
    <t xml:space="preserve">③一般最優先</t>
  </si>
  <si>
    <t xml:space="preserve">④一般</t>
  </si>
  <si>
    <t xml:space="preserve">番号</t>
  </si>
  <si>
    <t xml:space="preserve">総数</t>
  </si>
  <si>
    <t xml:space="preserve">母馬最優先</t>
  </si>
  <si>
    <t xml:space="preserve">母馬</t>
  </si>
  <si>
    <t xml:space="preserve">最優先</t>
  </si>
  <si>
    <t xml:space="preserve">最優先合計</t>
  </si>
  <si>
    <t xml:space="preserve">母馬合計</t>
  </si>
  <si>
    <t xml:space="preserve">母馬割合</t>
  </si>
  <si>
    <t xml:space="preserve">確率</t>
  </si>
  <si>
    <t xml:space="preserve">残数</t>
  </si>
  <si>
    <t xml:space="preserve">抽選予想</t>
  </si>
  <si>
    <t xml:space="preserve">結果</t>
  </si>
  <si>
    <t xml:space="preserve">①最優先</t>
  </si>
  <si>
    <t xml:space="preserve">②一般</t>
  </si>
  <si>
    <t xml:space="preserve">抽選</t>
  </si>
  <si>
    <t xml:space="preserve">募集年</t>
  </si>
  <si>
    <t xml:space="preserve">登録名</t>
  </si>
  <si>
    <t xml:space="preserve">生月</t>
  </si>
  <si>
    <t xml:space="preserve">募集総額(万)</t>
  </si>
  <si>
    <t xml:space="preserve">馬体重</t>
  </si>
  <si>
    <t xml:space="preserve">通算成績</t>
  </si>
  <si>
    <t xml:space="preserve">勝利数</t>
  </si>
  <si>
    <t xml:space="preserve">中央賞金(万)</t>
  </si>
  <si>
    <t xml:space="preserve">地方賞金(万)</t>
  </si>
  <si>
    <t xml:space="preserve">賞金/募集額</t>
  </si>
  <si>
    <t xml:space="preserve">重賞</t>
  </si>
  <si>
    <t xml:space="preserve">主な勝ち鞍</t>
  </si>
  <si>
    <t xml:space="preserve">デックドアウトの19</t>
  </si>
  <si>
    <t xml:space="preserve">フォレスクライト (Volles Kleid)</t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</si>
  <si>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[0-0-0-3]</t>
    </r>
  </si>
  <si>
    <t xml:space="preserve">--&gt;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</si>
  <si>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431kg</t>
    </r>
  </si>
  <si>
    <t xml:space="preserve">ヒルダズパッションの19</t>
  </si>
  <si>
    <t xml:space="preserve">フィアレスデザイア (Fearless Desire)</t>
  </si>
  <si>
    <r>
      <rPr>
        <sz val="11"/>
        <rFont val="ＭＳ ゴシック"/>
        <family val="0"/>
        <charset val="1"/>
      </rPr>
      <t xml:space="preserve">6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[1-1-2-2]</t>
    </r>
  </si>
  <si>
    <r>
      <rPr>
        <sz val="11"/>
        <rFont val="ＭＳ ゴシック"/>
        <family val="0"/>
        <charset val="1"/>
      </rPr>
      <t xml:space="preserve">C2</t>
    </r>
    <r>
      <rPr>
        <sz val="11"/>
        <rFont val="WenQuanYi Zen Hei"/>
        <family val="2"/>
      </rPr>
      <t xml:space="preserve">九組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</si>
  <si>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455kg</t>
    </r>
  </si>
  <si>
    <t xml:space="preserve">ティズトレメンダスの19</t>
  </si>
  <si>
    <t xml:space="preserve">ティズグロリアス (Tiz Glorious)</t>
  </si>
  <si>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[1-0-1-8]</t>
    </r>
  </si>
  <si>
    <r>
      <rPr>
        <sz val="11"/>
        <rFont val="ＭＳ ゴシック"/>
        <family val="0"/>
        <charset val="1"/>
      </rPr>
      <t xml:space="preserve">21'2</t>
    </r>
    <r>
      <rPr>
        <sz val="11"/>
        <rFont val="WenQuanYi Zen Hei"/>
        <family val="2"/>
      </rPr>
      <t xml:space="preserve">歳新馬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</si>
  <si>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</t>
    </r>
  </si>
  <si>
    <t xml:space="preserve">ファイナルディシジョンの19</t>
  </si>
  <si>
    <t xml:space="preserve">ファイナルアンサー (Final Answer)</t>
  </si>
  <si>
    <r>
      <rPr>
        <sz val="11"/>
        <rFont val="ＭＳ ゴシック"/>
        <family val="0"/>
        <charset val="1"/>
      </rPr>
      <t xml:space="preserve">5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[0-0-0-5]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</si>
  <si>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460kg</t>
    </r>
  </si>
  <si>
    <t xml:space="preserve">サミターの19</t>
  </si>
  <si>
    <t xml:space="preserve">ディエルメス (Diermmes)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</si>
  <si>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歳・価格帯○</t>
    </r>
  </si>
  <si>
    <t xml:space="preserve">ハープスターの19</t>
  </si>
  <si>
    <t xml:space="preserve">ライラスター (Lyra Star)</t>
  </si>
  <si>
    <r>
      <rPr>
        <sz val="11"/>
        <rFont val="ＭＳ ゴシック"/>
        <family val="0"/>
        <charset val="1"/>
      </rPr>
      <t xml:space="preserve">24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[4-2-3-15]</t>
    </r>
  </si>
  <si>
    <r>
      <rPr>
        <sz val="11"/>
        <rFont val="ＭＳ ゴシック"/>
        <family val="0"/>
        <charset val="1"/>
      </rPr>
      <t xml:space="preserve">25'</t>
    </r>
    <r>
      <rPr>
        <sz val="11"/>
        <rFont val="WenQuanYi Zen Hei"/>
        <family val="2"/>
      </rPr>
      <t xml:space="preserve">胎内川特別</t>
    </r>
    <r>
      <rPr>
        <sz val="11"/>
        <rFont val="ＭＳ ゴシック"/>
        <family val="0"/>
        <charset val="1"/>
      </rPr>
      <t xml:space="preserve">(2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)22'3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</si>
  <si>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447kg</t>
    </r>
  </si>
  <si>
    <t xml:space="preserve">ルージュバックの19</t>
  </si>
  <si>
    <t xml:space="preserve">ブラーバック (Boulard Buck)</t>
  </si>
  <si>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[1-1-1-5]</t>
    </r>
  </si>
  <si>
    <t xml:space="preserve">松ちゃん10周年記念--&gt;</t>
  </si>
  <si>
    <t xml:space="preserve">シーズンズベストの19</t>
  </si>
  <si>
    <t xml:space="preserve">トリメストラーレ (Trimestrale)</t>
  </si>
  <si>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[0-0-0-0]</t>
    </r>
  </si>
  <si>
    <t xml:space="preserve">ティロレスカの19</t>
  </si>
  <si>
    <t xml:space="preserve">サパーダ (Zapada)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</si>
  <si>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449kg</t>
    </r>
  </si>
  <si>
    <t xml:space="preserve">ヒストリックスターの19</t>
  </si>
  <si>
    <t xml:space="preserve">ライリッズ (Lyrids)</t>
  </si>
  <si>
    <r>
      <rPr>
        <sz val="11"/>
        <rFont val="ＭＳ ゴシック"/>
        <family val="0"/>
        <charset val="1"/>
      </rPr>
      <t xml:space="preserve">13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[3-2-2-6]</t>
    </r>
  </si>
  <si>
    <r>
      <rPr>
        <sz val="11"/>
        <rFont val="ＭＳ ゴシック"/>
        <family val="0"/>
        <charset val="1"/>
      </rPr>
      <t xml:space="preserve">23'</t>
    </r>
    <r>
      <rPr>
        <sz val="11"/>
        <rFont val="WenQuanYi Zen Hei"/>
        <family val="2"/>
      </rPr>
      <t xml:space="preserve">兵庫特別</t>
    </r>
    <r>
      <rPr>
        <sz val="11"/>
        <rFont val="ＭＳ ゴシック"/>
        <family val="0"/>
        <charset val="1"/>
      </rPr>
      <t xml:space="preserve">(2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)23'4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</si>
  <si>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</t>
    </r>
  </si>
  <si>
    <t xml:space="preserve">ピュアブリーゼの19</t>
  </si>
  <si>
    <t xml:space="preserve">ヴィルトブリーゼ (Wild Brise)</t>
  </si>
  <si>
    <r>
      <rPr>
        <sz val="11"/>
        <rFont val="ＭＳ ゴシック"/>
        <family val="0"/>
        <charset val="1"/>
      </rPr>
      <t xml:space="preserve">18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[2-1-2-13]</t>
    </r>
  </si>
  <si>
    <r>
      <rPr>
        <sz val="11"/>
        <rFont val="ＭＳ ゴシック"/>
        <family val="0"/>
        <charset val="1"/>
      </rPr>
      <t xml:space="preserve">23'3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22'3</t>
    </r>
    <r>
      <rPr>
        <sz val="11"/>
        <rFont val="WenQuanYi Zen Hei"/>
        <family val="2"/>
      </rPr>
      <t xml:space="preserve">歳未勝利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</si>
  <si>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459kg</t>
    </r>
  </si>
  <si>
    <t xml:space="preserve">シェルズレイの19</t>
  </si>
  <si>
    <t xml:space="preserve">レイフル (Lei Hulu)</t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</si>
  <si>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[0-0-1-3]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</si>
  <si>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438kg</t>
    </r>
  </si>
  <si>
    <t xml:space="preserve">ベルロワイヤルの19</t>
  </si>
  <si>
    <t xml:space="preserve">ベルロワイヤルの2019</t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</si>
  <si>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歳・価格帯○</t>
    </r>
  </si>
  <si>
    <t xml:space="preserve">ディアデラマドレの19</t>
  </si>
  <si>
    <t xml:space="preserve">レガラール (Regalar)</t>
  </si>
  <si>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[1-0-0-0]</t>
    </r>
  </si>
  <si>
    <r>
      <rPr>
        <sz val="11"/>
        <rFont val="ＭＳ ゴシック"/>
        <family val="0"/>
        <charset val="1"/>
      </rPr>
      <t xml:space="preserve">22'3</t>
    </r>
    <r>
      <rPr>
        <sz val="11"/>
        <rFont val="WenQuanYi Zen Hei"/>
        <family val="2"/>
      </rPr>
      <t xml:space="preserve">歳未勝利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</si>
  <si>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464kg</t>
    </r>
  </si>
  <si>
    <t xml:space="preserve">バウンスシャッセの19</t>
  </si>
  <si>
    <t xml:space="preserve">グランプレジール (Grand Plaisir)</t>
  </si>
  <si>
    <r>
      <rPr>
        <sz val="11"/>
        <rFont val="ＭＳ ゴシック"/>
        <family val="0"/>
        <charset val="1"/>
      </rPr>
      <t xml:space="preserve">16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[1-4-1-10]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</si>
  <si>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478kg</t>
    </r>
  </si>
  <si>
    <t xml:space="preserve">ヴィータアレグリアの19</t>
  </si>
  <si>
    <t xml:space="preserve">ピエナディヴィータ (Piena di Vita)</t>
  </si>
  <si>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[2-0-0-0]</t>
    </r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</si>
  <si>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C4</t>
    </r>
    <r>
      <rPr>
        <sz val="11"/>
        <rFont val="WenQuanYi Zen Hei"/>
        <family val="2"/>
      </rPr>
      <t xml:space="preserve">ー</t>
    </r>
    <r>
      <rPr>
        <sz val="11"/>
        <rFont val="ＭＳ ゴシック"/>
        <family val="0"/>
        <charset val="1"/>
      </rPr>
      <t xml:space="preserve">33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C4</t>
    </r>
    <r>
      <rPr>
        <sz val="11"/>
        <rFont val="WenQuanYi Zen Hei"/>
        <family val="2"/>
      </rPr>
      <t xml:space="preserve">ー</t>
    </r>
    <r>
      <rPr>
        <sz val="11"/>
        <rFont val="ＭＳ ゴシック"/>
        <family val="0"/>
        <charset val="1"/>
      </rPr>
      <t xml:space="preserve">4--&gt;</t>
    </r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</si>
  <si>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482kg</t>
    </r>
  </si>
  <si>
    <t xml:space="preserve">アンレールの19</t>
  </si>
  <si>
    <t xml:space="preserve">アンクロワ (En Croix)</t>
  </si>
  <si>
    <r>
      <rPr>
        <sz val="11"/>
        <rFont val="ＭＳ ゴシック"/>
        <family val="0"/>
        <charset val="1"/>
      </rPr>
      <t xml:space="preserve">14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[2-1-1-10]</t>
    </r>
  </si>
  <si>
    <r>
      <rPr>
        <sz val="11"/>
        <rFont val="ＭＳ ゴシック"/>
        <family val="0"/>
        <charset val="1"/>
      </rPr>
      <t xml:space="preserve">22'3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21'2</t>
    </r>
    <r>
      <rPr>
        <sz val="11"/>
        <rFont val="WenQuanYi Zen Hei"/>
        <family val="2"/>
      </rPr>
      <t xml:space="preserve">歳新馬</t>
    </r>
    <r>
      <rPr>
        <sz val="11"/>
        <rFont val="ＭＳ ゴシック"/>
        <family val="0"/>
        <charset val="1"/>
      </rPr>
      <t xml:space="preserve">--&gt;</t>
    </r>
  </si>
  <si>
    <t xml:space="preserve">クレオールの19</t>
  </si>
  <si>
    <t xml:space="preserve">エスペラント (Esperanto)</t>
  </si>
  <si>
    <r>
      <rPr>
        <sz val="11"/>
        <rFont val="ＭＳ ゴシック"/>
        <family val="0"/>
        <charset val="1"/>
      </rPr>
      <t xml:space="preserve">22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[1-5-4-12]</t>
    </r>
  </si>
  <si>
    <t xml:space="preserve">オリエンタルポピーの19</t>
  </si>
  <si>
    <t xml:space="preserve">アイスランドポピー (Iceland Poppy)</t>
  </si>
  <si>
    <r>
      <rPr>
        <sz val="11"/>
        <rFont val="ＭＳ ゴシック"/>
        <family val="0"/>
        <charset val="1"/>
      </rPr>
      <t xml:space="preserve">12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[0-3-1-8]</t>
    </r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</si>
  <si>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435kg</t>
    </r>
  </si>
  <si>
    <t xml:space="preserve">ブルーメンブラットの19</t>
  </si>
  <si>
    <t xml:space="preserve">フォラブリューテ (Voller Blute)</t>
  </si>
  <si>
    <r>
      <rPr>
        <sz val="11"/>
        <rFont val="ＭＳ ゴシック"/>
        <family val="0"/>
        <charset val="1"/>
      </rPr>
      <t xml:space="preserve">14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[2-0-0-12]</t>
    </r>
  </si>
  <si>
    <r>
      <rPr>
        <sz val="11"/>
        <rFont val="ＭＳ ゴシック"/>
        <family val="0"/>
        <charset val="1"/>
      </rPr>
      <t xml:space="preserve">22'</t>
    </r>
    <r>
      <rPr>
        <sz val="11"/>
        <rFont val="WenQuanYi Zen Hei"/>
        <family val="2"/>
      </rPr>
      <t xml:space="preserve">紅梅</t>
    </r>
    <r>
      <rPr>
        <sz val="11"/>
        <rFont val="ＭＳ ゴシック"/>
        <family val="0"/>
        <charset val="1"/>
      </rPr>
      <t xml:space="preserve">S(L)21'2</t>
    </r>
    <r>
      <rPr>
        <sz val="11"/>
        <rFont val="WenQuanYi Zen Hei"/>
        <family val="2"/>
      </rPr>
      <t xml:space="preserve">歳新馬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</si>
  <si>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431kg</t>
    </r>
  </si>
  <si>
    <t xml:space="preserve">ケイティーズハートの19</t>
  </si>
  <si>
    <t xml:space="preserve">ヴァンガーズハート (Vanguard's Heart)</t>
  </si>
  <si>
    <r>
      <rPr>
        <sz val="11"/>
        <rFont val="ＭＳ ゴシック"/>
        <family val="0"/>
        <charset val="1"/>
      </rPr>
      <t xml:space="preserve">22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[1-4-3-14]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</si>
  <si>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455kg</t>
    </r>
  </si>
  <si>
    <t xml:space="preserve">クルミナルの19</t>
  </si>
  <si>
    <t xml:space="preserve">アライバル (Arrival)</t>
  </si>
  <si>
    <r>
      <rPr>
        <sz val="11"/>
        <rFont val="ＭＳ ゴシック"/>
        <family val="0"/>
        <charset val="1"/>
      </rPr>
      <t xml:space="preserve">7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[1-2-0-4]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</si>
  <si>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458kg</t>
    </r>
  </si>
  <si>
    <t xml:space="preserve">エールデュレーヴの19</t>
  </si>
  <si>
    <t xml:space="preserve">スプレッドアウト (Spread Out)</t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</si>
  <si>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[0-0-0-4]</t>
    </r>
  </si>
  <si>
    <t xml:space="preserve">ヴェルジョワーズの19</t>
  </si>
  <si>
    <t xml:space="preserve">シュガービート (Sugar Beet)</t>
  </si>
  <si>
    <r>
      <rPr>
        <sz val="11"/>
        <rFont val="ＭＳ ゴシック"/>
        <family val="0"/>
        <charset val="1"/>
      </rPr>
      <t xml:space="preserve">19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[3-0-1-15]</t>
    </r>
  </si>
  <si>
    <t xml:space="preserve">名古屋モーニングフィーバー52C20組--&gt;</t>
  </si>
  <si>
    <t xml:space="preserve">スペルオンミーの19</t>
  </si>
  <si>
    <t xml:space="preserve">スマイルオンミー (Smile on Me)</t>
  </si>
  <si>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[2-4-0-5]</t>
    </r>
  </si>
  <si>
    <r>
      <rPr>
        <sz val="11"/>
        <rFont val="ＭＳ ゴシック"/>
        <family val="0"/>
        <charset val="1"/>
      </rPr>
      <t xml:space="preserve">22'3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22'3</t>
    </r>
    <r>
      <rPr>
        <sz val="11"/>
        <rFont val="WenQuanYi Zen Hei"/>
        <family val="2"/>
      </rPr>
      <t xml:space="preserve">歳未勝利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</si>
  <si>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536kg</t>
    </r>
  </si>
  <si>
    <t xml:space="preserve">アウェイクの19</t>
  </si>
  <si>
    <t xml:space="preserve">ウェイクアップ (Wake Up)</t>
  </si>
  <si>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[0-0-0-2]</t>
    </r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</si>
  <si>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436kg</t>
    </r>
  </si>
  <si>
    <t xml:space="preserve">アールブリュットの19</t>
  </si>
  <si>
    <t xml:space="preserve">パラレルヴィジョン (Parallel Vision)</t>
  </si>
  <si>
    <r>
      <rPr>
        <sz val="11"/>
        <rFont val="ＭＳ ゴシック"/>
        <family val="0"/>
        <charset val="1"/>
      </rPr>
      <t xml:space="preserve">23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6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[6-1-5-11]</t>
    </r>
  </si>
  <si>
    <r>
      <rPr>
        <sz val="11"/>
        <rFont val="ＭＳ ゴシック"/>
        <family val="0"/>
        <charset val="1"/>
      </rPr>
      <t xml:space="preserve">24'</t>
    </r>
    <r>
      <rPr>
        <sz val="11"/>
        <rFont val="WenQuanYi Zen Hei"/>
        <family val="2"/>
      </rPr>
      <t xml:space="preserve">ダービー卿チャレンジ</t>
    </r>
    <r>
      <rPr>
        <sz val="11"/>
        <rFont val="ＭＳ ゴシック"/>
        <family val="0"/>
        <charset val="1"/>
      </rPr>
      <t xml:space="preserve">T(G3)24'</t>
    </r>
    <r>
      <rPr>
        <sz val="11"/>
        <rFont val="WenQuanYi Zen Hei"/>
        <family val="2"/>
      </rPr>
      <t xml:space="preserve">ニューイヤー</t>
    </r>
    <r>
      <rPr>
        <sz val="11"/>
        <rFont val="ＭＳ ゴシック"/>
        <family val="0"/>
        <charset val="1"/>
      </rPr>
      <t xml:space="preserve">S(L)--&gt;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</si>
  <si>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447kg</t>
    </r>
  </si>
  <si>
    <t xml:space="preserve">ムーンライトダンスの19</t>
  </si>
  <si>
    <t xml:space="preserve">ルナマーレ (Lunar Mare)</t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</si>
  <si>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446kg</t>
    </r>
  </si>
  <si>
    <t xml:space="preserve">サダムグランジュテの19</t>
  </si>
  <si>
    <t xml:space="preserve">グランパドゥシャ (Grand Pas de Chat)</t>
  </si>
  <si>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[1-1-1-7]</t>
    </r>
  </si>
  <si>
    <r>
      <rPr>
        <sz val="11"/>
        <rFont val="ＭＳ ゴシック"/>
        <family val="0"/>
        <charset val="1"/>
      </rPr>
      <t xml:space="preserve">C2</t>
    </r>
    <r>
      <rPr>
        <sz val="11"/>
        <rFont val="WenQuanYi Zen Hei"/>
        <family val="2"/>
      </rPr>
      <t xml:space="preserve">二 三四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</si>
  <si>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444kg</t>
    </r>
  </si>
  <si>
    <t xml:space="preserve">カラベルラティーナの19</t>
  </si>
  <si>
    <t xml:space="preserve">トライセイル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</si>
  <si>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460kg</t>
    </r>
  </si>
  <si>
    <t xml:space="preserve">ペルレンケッテの19</t>
  </si>
  <si>
    <t xml:space="preserve">グレアファンタス (Glare Fantas)</t>
  </si>
  <si>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[3-3-0-4]</t>
    </r>
  </si>
  <si>
    <r>
      <rPr>
        <sz val="11"/>
        <rFont val="ＭＳ ゴシック"/>
        <family val="0"/>
        <charset val="1"/>
      </rPr>
      <t xml:space="preserve">C16</t>
    </r>
    <r>
      <rPr>
        <sz val="11"/>
        <rFont val="WenQuanYi Zen Hei"/>
        <family val="2"/>
      </rPr>
      <t xml:space="preserve">組</t>
    </r>
    <r>
      <rPr>
        <sz val="11"/>
        <rFont val="ＭＳ ゴシック"/>
        <family val="0"/>
        <charset val="1"/>
      </rPr>
      <t xml:space="preserve">C8</t>
    </r>
    <r>
      <rPr>
        <sz val="11"/>
        <rFont val="WenQuanYi Zen Hei"/>
        <family val="2"/>
      </rPr>
      <t xml:space="preserve">組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</si>
  <si>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449kg</t>
    </r>
  </si>
  <si>
    <t xml:space="preserve">リーチコンセンサスの19</t>
  </si>
  <si>
    <t xml:space="preserve">ジェネラルウィル (General Will)</t>
  </si>
  <si>
    <r>
      <rPr>
        <sz val="11"/>
        <rFont val="ＭＳ ゴシック"/>
        <family val="0"/>
        <charset val="1"/>
      </rPr>
      <t xml:space="preserve">22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[2-1-1-18]</t>
    </r>
  </si>
  <si>
    <t xml:space="preserve">ポットマム特別イヌサフラン特別--&gt;</t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</si>
  <si>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454kg</t>
    </r>
  </si>
  <si>
    <t xml:space="preserve">ティンバレスの19</t>
  </si>
  <si>
    <t xml:space="preserve">パーカッション (Percussion)</t>
  </si>
  <si>
    <t xml:space="preserve">イスラボニータ</t>
  </si>
  <si>
    <r>
      <rPr>
        <sz val="11"/>
        <rFont val="ＭＳ ゴシック"/>
        <family val="0"/>
        <charset val="1"/>
      </rPr>
      <t xml:space="preserve">15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[3-0-1-11]</t>
    </r>
  </si>
  <si>
    <r>
      <rPr>
        <sz val="11"/>
        <rFont val="ＭＳ ゴシック"/>
        <family val="0"/>
        <charset val="1"/>
      </rPr>
      <t xml:space="preserve">23'4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24'</t>
    </r>
    <r>
      <rPr>
        <sz val="11"/>
        <rFont val="WenQuanYi Zen Hei"/>
        <family val="2"/>
      </rPr>
      <t xml:space="preserve">障害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歳以上未勝利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</si>
  <si>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486kg</t>
    </r>
  </si>
  <si>
    <t xml:space="preserve">エクストラペトルの19</t>
  </si>
  <si>
    <t xml:space="preserve">ロータスペトル (Lotus Petal)</t>
  </si>
  <si>
    <r>
      <rPr>
        <sz val="11"/>
        <rFont val="ＭＳ ゴシック"/>
        <family val="0"/>
        <charset val="1"/>
      </rPr>
      <t xml:space="preserve">12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[1-0-1-10]</t>
    </r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</si>
  <si>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歳四 選抜馬イ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</si>
  <si>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462kg</t>
    </r>
  </si>
  <si>
    <t xml:space="preserve">クルージンミジーの19</t>
  </si>
  <si>
    <t xml:space="preserve">オールフラッグ (All Flag)</t>
  </si>
  <si>
    <t xml:space="preserve">トゥザワールド</t>
  </si>
  <si>
    <r>
      <rPr>
        <sz val="11"/>
        <rFont val="ＭＳ ゴシック"/>
        <family val="0"/>
        <charset val="1"/>
      </rPr>
      <t xml:space="preserve">27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[4-4-2-17]</t>
    </r>
  </si>
  <si>
    <r>
      <rPr>
        <sz val="11"/>
        <rFont val="ＭＳ ゴシック"/>
        <family val="0"/>
        <charset val="1"/>
      </rPr>
      <t xml:space="preserve">23'4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22'3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</si>
  <si>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439kg</t>
    </r>
  </si>
  <si>
    <t xml:space="preserve">ムスタパルタの19</t>
  </si>
  <si>
    <t xml:space="preserve">パルタージュ (Partage)</t>
  </si>
  <si>
    <r>
      <rPr>
        <sz val="11"/>
        <rFont val="ＭＳ ゴシック"/>
        <family val="0"/>
        <charset val="1"/>
      </rPr>
      <t xml:space="preserve">31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5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[5-4-0-22]</t>
    </r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</si>
  <si>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歳</t>
    </r>
    <r>
      <rPr>
        <sz val="11"/>
        <rFont val="ＭＳ ゴシック"/>
        <family val="0"/>
        <charset val="1"/>
      </rPr>
      <t xml:space="preserve">C2</t>
    </r>
    <r>
      <rPr>
        <sz val="11"/>
        <rFont val="WenQuanYi Zen Hei"/>
        <family val="2"/>
      </rPr>
      <t xml:space="preserve">二組</t>
    </r>
    <r>
      <rPr>
        <sz val="11"/>
        <rFont val="ＭＳ ゴシック"/>
        <family val="0"/>
        <charset val="1"/>
      </rPr>
      <t xml:space="preserve">C4</t>
    </r>
    <r>
      <rPr>
        <sz val="11"/>
        <rFont val="WenQuanYi Zen Hei"/>
        <family val="2"/>
      </rPr>
      <t xml:space="preserve">組</t>
    </r>
    <r>
      <rPr>
        <sz val="11"/>
        <rFont val="ＭＳ ゴシック"/>
        <family val="0"/>
        <charset val="1"/>
      </rPr>
      <t xml:space="preserve">--&gt;</t>
    </r>
  </si>
  <si>
    <t xml:space="preserve">オーマイベイビーの19</t>
  </si>
  <si>
    <t xml:space="preserve">クレイドル (Cradle)</t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</si>
  <si>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[1-0-0-2]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</si>
  <si>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453kg</t>
    </r>
  </si>
  <si>
    <t xml:space="preserve">フェルミオンの19</t>
  </si>
  <si>
    <t xml:space="preserve">ダイバリオン (Dibaryon)</t>
  </si>
  <si>
    <t xml:space="preserve">ジャスタウェイ</t>
  </si>
  <si>
    <r>
      <rPr>
        <sz val="11"/>
        <rFont val="ＭＳ ゴシック"/>
        <family val="0"/>
        <charset val="1"/>
      </rPr>
      <t xml:space="preserve">36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[3-5-2-26]</t>
    </r>
  </si>
  <si>
    <r>
      <rPr>
        <sz val="11"/>
        <rFont val="ＭＳ ゴシック"/>
        <family val="0"/>
        <charset val="1"/>
      </rPr>
      <t xml:space="preserve">24'</t>
    </r>
    <r>
      <rPr>
        <sz val="11"/>
        <rFont val="WenQuanYi Zen Hei"/>
        <family val="2"/>
      </rPr>
      <t xml:space="preserve">初日の出賞</t>
    </r>
    <r>
      <rPr>
        <sz val="11"/>
        <rFont val="ＭＳ ゴシック"/>
        <family val="0"/>
        <charset val="1"/>
      </rPr>
      <t xml:space="preserve">(2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)23'3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</si>
  <si>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</si>
  <si>
    <t xml:space="preserve">ロザリンドの19</t>
  </si>
  <si>
    <t xml:space="preserve">アルドゥエンナ (Arduenna)</t>
  </si>
  <si>
    <t xml:space="preserve">スクリーンヒーロー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</si>
  <si>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歳・価格帯○</t>
    </r>
  </si>
  <si>
    <t xml:space="preserve">ピンクアリエスの19</t>
  </si>
  <si>
    <t xml:space="preserve">ローゼシュティア (Rose Stier)</t>
  </si>
  <si>
    <t xml:space="preserve">トーセンラー</t>
  </si>
  <si>
    <r>
      <rPr>
        <sz val="11"/>
        <rFont val="ＭＳ ゴシック"/>
        <family val="0"/>
        <charset val="1"/>
      </rPr>
      <t xml:space="preserve">54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[1-4-6-43]</t>
    </r>
  </si>
  <si>
    <t xml:space="preserve">渚8歳誕生日おめでとう記念--&gt;</t>
  </si>
  <si>
    <t xml:space="preserve">グリューヴァインの19</t>
  </si>
  <si>
    <t xml:space="preserve">ミッテルライン (Mittelrhein)</t>
  </si>
  <si>
    <t xml:space="preserve">ヘニーヒューズ</t>
  </si>
  <si>
    <r>
      <rPr>
        <sz val="11"/>
        <rFont val="ＭＳ ゴシック"/>
        <family val="0"/>
        <charset val="1"/>
      </rPr>
      <t xml:space="preserve">46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[3-4-4-35]</t>
    </r>
  </si>
  <si>
    <r>
      <rPr>
        <sz val="11"/>
        <rFont val="ＭＳ ゴシック"/>
        <family val="0"/>
        <charset val="1"/>
      </rPr>
      <t xml:space="preserve">C3</t>
    </r>
    <r>
      <rPr>
        <sz val="11"/>
        <rFont val="WenQuanYi Zen Hei"/>
        <family val="2"/>
      </rPr>
      <t xml:space="preserve">二</t>
    </r>
    <r>
      <rPr>
        <sz val="11"/>
        <rFont val="ＭＳ ゴシック"/>
        <family val="0"/>
        <charset val="1"/>
      </rPr>
      <t xml:space="preserve">C1--&gt;</t>
    </r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</si>
  <si>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440kg</t>
    </r>
  </si>
  <si>
    <t xml:space="preserve">サザンスピードの19</t>
  </si>
  <si>
    <t xml:space="preserve">サザンクロス (Southern Cross)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</si>
  <si>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512kg</t>
    </r>
  </si>
  <si>
    <t xml:space="preserve">ソングバードの19</t>
  </si>
  <si>
    <t xml:space="preserve">ハミングバード (Humming Bird)</t>
  </si>
  <si>
    <t xml:space="preserve">リアルインパクト</t>
  </si>
  <si>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[0-0-0-1]</t>
    </r>
  </si>
  <si>
    <t xml:space="preserve">ロスヴァイセの19</t>
  </si>
  <si>
    <t xml:space="preserve">ヴァーンフリート (Wahnfried)</t>
  </si>
  <si>
    <r>
      <rPr>
        <sz val="11"/>
        <rFont val="ＭＳ ゴシック"/>
        <family val="0"/>
        <charset val="1"/>
      </rPr>
      <t xml:space="preserve">20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[3-3-3-11]</t>
    </r>
  </si>
  <si>
    <r>
      <rPr>
        <sz val="11"/>
        <rFont val="ＭＳ ゴシック"/>
        <family val="0"/>
        <charset val="1"/>
      </rPr>
      <t xml:space="preserve">23'</t>
    </r>
    <r>
      <rPr>
        <sz val="11"/>
        <rFont val="WenQuanYi Zen Hei"/>
        <family val="2"/>
      </rPr>
      <t xml:space="preserve">青梅特別</t>
    </r>
    <r>
      <rPr>
        <sz val="11"/>
        <rFont val="ＭＳ ゴシック"/>
        <family val="0"/>
        <charset val="1"/>
      </rPr>
      <t xml:space="preserve">(2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)22'3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</si>
  <si>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497kg</t>
    </r>
  </si>
  <si>
    <t xml:space="preserve">リーチングの19</t>
  </si>
  <si>
    <t xml:space="preserve">ブロードリーチ (Broad Reach)</t>
  </si>
  <si>
    <t xml:space="preserve">Arrogate</t>
  </si>
  <si>
    <r>
      <rPr>
        <sz val="11"/>
        <rFont val="ＭＳ ゴシック"/>
        <family val="0"/>
        <charset val="1"/>
      </rPr>
      <t xml:space="preserve">12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[3-2-0-7]</t>
    </r>
  </si>
  <si>
    <r>
      <rPr>
        <sz val="11"/>
        <rFont val="ＭＳ ゴシック"/>
        <family val="0"/>
        <charset val="1"/>
      </rPr>
      <t xml:space="preserve">23'4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C3</t>
    </r>
    <r>
      <rPr>
        <sz val="11"/>
        <rFont val="WenQuanYi Zen Hei"/>
        <family val="2"/>
      </rPr>
      <t xml:space="preserve">組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</si>
  <si>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</t>
    </r>
  </si>
  <si>
    <t xml:space="preserve">キラーグレイシスの19</t>
  </si>
  <si>
    <t xml:space="preserve">キラーアビリティ (Killer Ability)</t>
  </si>
  <si>
    <r>
      <rPr>
        <sz val="11"/>
        <rFont val="ＭＳ ゴシック"/>
        <family val="0"/>
        <charset val="1"/>
      </rPr>
      <t xml:space="preserve">18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[3-2-0-13]</t>
    </r>
  </si>
  <si>
    <r>
      <rPr>
        <sz val="11"/>
        <rFont val="ＭＳ ゴシック"/>
        <family val="0"/>
        <charset val="1"/>
      </rPr>
      <t xml:space="preserve">21'</t>
    </r>
    <r>
      <rPr>
        <sz val="11"/>
        <rFont val="WenQuanYi Zen Hei"/>
        <family val="2"/>
      </rPr>
      <t xml:space="preserve">ホープフル</t>
    </r>
    <r>
      <rPr>
        <sz val="11"/>
        <rFont val="ＭＳ ゴシック"/>
        <family val="0"/>
        <charset val="1"/>
      </rPr>
      <t xml:space="preserve">S(G1)22'</t>
    </r>
    <r>
      <rPr>
        <sz val="11"/>
        <rFont val="WenQuanYi Zen Hei"/>
        <family val="2"/>
      </rPr>
      <t xml:space="preserve">中日新聞杯</t>
    </r>
    <r>
      <rPr>
        <sz val="11"/>
        <rFont val="ＭＳ ゴシック"/>
        <family val="0"/>
        <charset val="1"/>
      </rPr>
      <t xml:space="preserve">(G3)--&gt;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</si>
  <si>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447kg</t>
    </r>
  </si>
  <si>
    <t xml:space="preserve">ピースアンドウォーの19</t>
  </si>
  <si>
    <t xml:space="preserve">デイジーラック (Daisy Luck)</t>
  </si>
  <si>
    <t xml:space="preserve">シンハライトの19</t>
  </si>
  <si>
    <t xml:space="preserve">アルジュナ (Arjuna)</t>
  </si>
  <si>
    <t xml:space="preserve">フロアクラフトの19</t>
  </si>
  <si>
    <t xml:space="preserve">アレマーナ (Alemana)</t>
  </si>
  <si>
    <r>
      <rPr>
        <sz val="11"/>
        <rFont val="ＭＳ ゴシック"/>
        <family val="0"/>
        <charset val="1"/>
      </rPr>
      <t xml:space="preserve">23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[2-2-3-16]</t>
    </r>
  </si>
  <si>
    <r>
      <rPr>
        <sz val="11"/>
        <rFont val="ＭＳ ゴシック"/>
        <family val="0"/>
        <charset val="1"/>
      </rPr>
      <t xml:space="preserve">23'4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22'3</t>
    </r>
    <r>
      <rPr>
        <sz val="11"/>
        <rFont val="WenQuanYi Zen Hei"/>
        <family val="2"/>
      </rPr>
      <t xml:space="preserve">歳未勝利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</si>
  <si>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438kg</t>
    </r>
  </si>
  <si>
    <t xml:space="preserve">クルソラの19</t>
  </si>
  <si>
    <t xml:space="preserve">セレシオン (Seleccion)</t>
  </si>
  <si>
    <r>
      <rPr>
        <sz val="11"/>
        <rFont val="ＭＳ ゴシック"/>
        <family val="0"/>
        <charset val="1"/>
      </rPr>
      <t xml:space="preserve">16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[4-3-2-7]</t>
    </r>
  </si>
  <si>
    <r>
      <rPr>
        <sz val="11"/>
        <rFont val="ＭＳ ゴシック"/>
        <family val="0"/>
        <charset val="1"/>
      </rPr>
      <t xml:space="preserve">24'</t>
    </r>
    <r>
      <rPr>
        <sz val="11"/>
        <rFont val="WenQuanYi Zen Hei"/>
        <family val="2"/>
      </rPr>
      <t xml:space="preserve">弥彦</t>
    </r>
    <r>
      <rPr>
        <sz val="11"/>
        <rFont val="ＭＳ ゴシック"/>
        <family val="0"/>
        <charset val="1"/>
      </rPr>
      <t xml:space="preserve">S(3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)22'</t>
    </r>
    <r>
      <rPr>
        <sz val="11"/>
        <rFont val="WenQuanYi Zen Hei"/>
        <family val="2"/>
      </rPr>
      <t xml:space="preserve">阿賀野川特別</t>
    </r>
    <r>
      <rPr>
        <sz val="11"/>
        <rFont val="ＭＳ ゴシック"/>
        <family val="0"/>
        <charset val="1"/>
      </rPr>
      <t xml:space="preserve">(2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</si>
  <si>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439kg</t>
    </r>
  </si>
  <si>
    <t xml:space="preserve">ファイナルスコアの19</t>
  </si>
  <si>
    <t xml:space="preserve">プレミアスコア (Premiere Score)</t>
  </si>
  <si>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[1-1-0-8]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</si>
  <si>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437kg</t>
    </r>
  </si>
  <si>
    <t xml:space="preserve">マルティンスタークの19</t>
  </si>
  <si>
    <t xml:space="preserve">アルトシュタット (Altstadt)</t>
  </si>
  <si>
    <r>
      <rPr>
        <sz val="11"/>
        <rFont val="ＭＳ ゴシック"/>
        <family val="0"/>
        <charset val="1"/>
      </rPr>
      <t xml:space="preserve">25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7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[7-2-1-15]</t>
    </r>
  </si>
  <si>
    <r>
      <rPr>
        <sz val="11"/>
        <rFont val="ＭＳ ゴシック"/>
        <family val="0"/>
        <charset val="1"/>
      </rPr>
      <t xml:space="preserve">23'4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21'</t>
    </r>
    <r>
      <rPr>
        <sz val="11"/>
        <rFont val="WenQuanYi Zen Hei"/>
        <family val="2"/>
      </rPr>
      <t xml:space="preserve">さざんか賞</t>
    </r>
    <r>
      <rPr>
        <sz val="11"/>
        <rFont val="ＭＳ ゴシック"/>
        <family val="0"/>
        <charset val="1"/>
      </rPr>
      <t xml:space="preserve">(1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</si>
  <si>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442kg</t>
    </r>
  </si>
  <si>
    <t xml:space="preserve">サンビスタの19</t>
  </si>
  <si>
    <t xml:space="preserve">ジレトール (Diretor)</t>
  </si>
  <si>
    <r>
      <rPr>
        <sz val="11"/>
        <rFont val="ＭＳ ゴシック"/>
        <family val="0"/>
        <charset val="1"/>
      </rPr>
      <t xml:space="preserve">26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6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[6-4-3-13]</t>
    </r>
  </si>
  <si>
    <r>
      <rPr>
        <sz val="11"/>
        <rFont val="ＭＳ ゴシック"/>
        <family val="0"/>
        <charset val="1"/>
      </rPr>
      <t xml:space="preserve">24'</t>
    </r>
    <r>
      <rPr>
        <sz val="11"/>
        <rFont val="WenQuanYi Zen Hei"/>
        <family val="2"/>
      </rPr>
      <t xml:space="preserve">天王山</t>
    </r>
    <r>
      <rPr>
        <sz val="11"/>
        <rFont val="ＭＳ ゴシック"/>
        <family val="0"/>
        <charset val="1"/>
      </rPr>
      <t xml:space="preserve">S(OP)24'</t>
    </r>
    <r>
      <rPr>
        <sz val="11"/>
        <rFont val="WenQuanYi Zen Hei"/>
        <family val="2"/>
      </rPr>
      <t xml:space="preserve">松風月</t>
    </r>
    <r>
      <rPr>
        <sz val="11"/>
        <rFont val="ＭＳ ゴシック"/>
        <family val="0"/>
        <charset val="1"/>
      </rPr>
      <t xml:space="preserve">S(OP)--&gt;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</si>
  <si>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</t>
    </r>
  </si>
  <si>
    <t xml:space="preserve">シェリールの19</t>
  </si>
  <si>
    <t xml:space="preserve">アッタガール (Attagirl)</t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</si>
  <si>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[1-2-0-1]</t>
    </r>
  </si>
  <si>
    <r>
      <rPr>
        <sz val="11"/>
        <rFont val="ＭＳ ゴシック"/>
        <family val="0"/>
        <charset val="1"/>
      </rPr>
      <t xml:space="preserve">C2</t>
    </r>
    <r>
      <rPr>
        <sz val="11"/>
        <rFont val="WenQuanYi Zen Hei"/>
        <family val="2"/>
      </rPr>
      <t xml:space="preserve">七組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</si>
  <si>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468kg</t>
    </r>
  </si>
  <si>
    <t xml:space="preserve">ジンジャーパンチの19</t>
  </si>
  <si>
    <t xml:space="preserve">プレミアムスマイル (Premium Smile)</t>
  </si>
  <si>
    <r>
      <rPr>
        <sz val="11"/>
        <rFont val="ＭＳ ゴシック"/>
        <family val="0"/>
        <charset val="1"/>
      </rPr>
      <t xml:space="preserve">19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[3-2-2-12]</t>
    </r>
  </si>
  <si>
    <r>
      <rPr>
        <sz val="11"/>
        <rFont val="ＭＳ ゴシック"/>
        <family val="0"/>
        <charset val="1"/>
      </rPr>
      <t xml:space="preserve">23'3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22'3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</si>
  <si>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466kg</t>
    </r>
  </si>
  <si>
    <t xml:space="preserve">ギモーヴの19</t>
  </si>
  <si>
    <t xml:space="preserve">スモア (S'more)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</si>
  <si>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451kg</t>
    </r>
  </si>
  <si>
    <t xml:space="preserve">シャムロッカーの19</t>
  </si>
  <si>
    <t xml:space="preserve">トリフォリウム (Trifolium)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</si>
  <si>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494kg</t>
    </r>
  </si>
  <si>
    <t xml:space="preserve">リッチダンサーの19</t>
  </si>
  <si>
    <t xml:space="preserve">ラクスバラディー (Raqs Baladi)</t>
  </si>
  <si>
    <r>
      <rPr>
        <sz val="11"/>
        <rFont val="ＭＳ ゴシック"/>
        <family val="0"/>
        <charset val="1"/>
      </rPr>
      <t xml:space="preserve">22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[3-4-2-13]</t>
    </r>
  </si>
  <si>
    <r>
      <rPr>
        <sz val="11"/>
        <rFont val="ＭＳ ゴシック"/>
        <family val="0"/>
        <charset val="1"/>
      </rPr>
      <t xml:space="preserve">23'</t>
    </r>
    <r>
      <rPr>
        <sz val="11"/>
        <rFont val="WenQuanYi Zen Hei"/>
        <family val="2"/>
      </rPr>
      <t xml:space="preserve">御池特別</t>
    </r>
    <r>
      <rPr>
        <sz val="11"/>
        <rFont val="ＭＳ ゴシック"/>
        <family val="0"/>
        <charset val="1"/>
      </rPr>
      <t xml:space="preserve">(2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)22'3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</si>
  <si>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479kg</t>
    </r>
  </si>
  <si>
    <t xml:space="preserve">ディアマイベイビーの19</t>
  </si>
  <si>
    <t xml:space="preserve">ゲイングラウンド (Gain Ground)</t>
  </si>
  <si>
    <r>
      <rPr>
        <sz val="11"/>
        <rFont val="ＭＳ ゴシック"/>
        <family val="0"/>
        <charset val="1"/>
      </rPr>
      <t xml:space="preserve">7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[1-0-2-4]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</si>
  <si>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歳・価格帯○</t>
    </r>
  </si>
  <si>
    <t xml:space="preserve">アビラの19</t>
  </si>
  <si>
    <t xml:space="preserve">ラスマドレス (Las Madres)</t>
  </si>
  <si>
    <r>
      <rPr>
        <sz val="11"/>
        <rFont val="ＭＳ ゴシック"/>
        <family val="0"/>
        <charset val="1"/>
      </rPr>
      <t xml:space="preserve">20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[3-0-2-15]</t>
    </r>
  </si>
  <si>
    <r>
      <rPr>
        <sz val="11"/>
        <rFont val="ＭＳ ゴシック"/>
        <family val="0"/>
        <charset val="1"/>
      </rPr>
      <t xml:space="preserve">23'</t>
    </r>
    <r>
      <rPr>
        <sz val="11"/>
        <rFont val="WenQuanYi Zen Hei"/>
        <family val="2"/>
      </rPr>
      <t xml:space="preserve">衣笠特別</t>
    </r>
    <r>
      <rPr>
        <sz val="11"/>
        <rFont val="ＭＳ ゴシック"/>
        <family val="0"/>
        <charset val="1"/>
      </rPr>
      <t xml:space="preserve">(2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)23'3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</si>
  <si>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438kg</t>
    </r>
  </si>
  <si>
    <t xml:space="preserve">プルメリアスターの19</t>
  </si>
  <si>
    <t xml:space="preserve">セラディーン (Celadine)</t>
  </si>
  <si>
    <t xml:space="preserve">テネイシャスの19</t>
  </si>
  <si>
    <r>
      <rPr>
        <sz val="11"/>
        <rFont val="ＭＳ 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未登録</t>
    </r>
    <r>
      <rPr>
        <sz val="11"/>
        <rFont val="ＭＳ ゴシック"/>
        <family val="0"/>
        <charset val="1"/>
      </rPr>
      <t xml:space="preserve">)</t>
    </r>
  </si>
  <si>
    <t xml:space="preserve">未登録</t>
  </si>
  <si>
    <t xml:space="preserve">リラヴァティの19</t>
  </si>
  <si>
    <t xml:space="preserve">ホートンプレインズ (Horton Plains)</t>
  </si>
  <si>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[0-1-1-8]</t>
    </r>
  </si>
  <si>
    <t xml:space="preserve">グランデアモーレの19</t>
  </si>
  <si>
    <t xml:space="preserve">グランデレジーナ (Grande Regina)</t>
  </si>
  <si>
    <r>
      <rPr>
        <sz val="11"/>
        <rFont val="ＭＳ ゴシック"/>
        <family val="0"/>
        <charset val="1"/>
      </rPr>
      <t xml:space="preserve">21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[1-0-0-20]</t>
    </r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</si>
  <si>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460kg</t>
    </r>
  </si>
  <si>
    <t xml:space="preserve">ディアデラノビアの19</t>
  </si>
  <si>
    <t xml:space="preserve">グランディア (Gran Dia)</t>
  </si>
  <si>
    <r>
      <rPr>
        <sz val="11"/>
        <rFont val="ＭＳ ゴシック"/>
        <family val="0"/>
        <charset val="1"/>
      </rPr>
      <t xml:space="preserve">26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5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[5-5-4-12]</t>
    </r>
  </si>
  <si>
    <r>
      <rPr>
        <sz val="11"/>
        <rFont val="ＭＳ ゴシック"/>
        <family val="0"/>
        <charset val="1"/>
      </rPr>
      <t xml:space="preserve">26'</t>
    </r>
    <r>
      <rPr>
        <sz val="11"/>
        <rFont val="WenQuanYi Zen Hei"/>
        <family val="2"/>
      </rPr>
      <t xml:space="preserve">新潟大賞典</t>
    </r>
    <r>
      <rPr>
        <sz val="11"/>
        <rFont val="ＭＳ ゴシック"/>
        <family val="0"/>
        <charset val="1"/>
      </rPr>
      <t xml:space="preserve">(G3)24'</t>
    </r>
    <r>
      <rPr>
        <sz val="11"/>
        <rFont val="WenQuanYi Zen Hei"/>
        <family val="2"/>
      </rPr>
      <t xml:space="preserve">スピカ</t>
    </r>
    <r>
      <rPr>
        <sz val="11"/>
        <rFont val="ＭＳ ゴシック"/>
        <family val="0"/>
        <charset val="1"/>
      </rPr>
      <t xml:space="preserve">S(3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)--&gt;</t>
    </r>
  </si>
  <si>
    <t xml:space="preserve">ジュモーの19</t>
  </si>
  <si>
    <t xml:space="preserve">フォアランナー (Forerunner)</t>
  </si>
  <si>
    <r>
      <rPr>
        <sz val="11"/>
        <rFont val="ＭＳ ゴシック"/>
        <family val="0"/>
        <charset val="1"/>
      </rPr>
      <t xml:space="preserve">29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[2-2-2-23]</t>
    </r>
  </si>
  <si>
    <t xml:space="preserve">かもみちゃん生誕特別チャレンジシリーズ--&gt;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</si>
  <si>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482kg</t>
    </r>
  </si>
  <si>
    <t xml:space="preserve">サンブルエミューズの19</t>
  </si>
  <si>
    <t xml:space="preserve">ナミュール (Namur)</t>
  </si>
  <si>
    <r>
      <rPr>
        <sz val="11"/>
        <rFont val="ＭＳ ゴシック"/>
        <family val="0"/>
        <charset val="1"/>
      </rPr>
      <t xml:space="preserve">18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5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[5-4-2-7]</t>
    </r>
  </si>
  <si>
    <r>
      <rPr>
        <sz val="11"/>
        <rFont val="ＭＳ ゴシック"/>
        <family val="0"/>
        <charset val="1"/>
      </rPr>
      <t xml:space="preserve">23'</t>
    </r>
    <r>
      <rPr>
        <sz val="11"/>
        <rFont val="WenQuanYi Zen Hei"/>
        <family val="2"/>
      </rPr>
      <t xml:space="preserve">マイル</t>
    </r>
    <r>
      <rPr>
        <sz val="11"/>
        <rFont val="ＭＳ ゴシック"/>
        <family val="0"/>
        <charset val="1"/>
      </rPr>
      <t xml:space="preserve">CS(G1)23'</t>
    </r>
    <r>
      <rPr>
        <sz val="11"/>
        <rFont val="WenQuanYi Zen Hei"/>
        <family val="2"/>
      </rPr>
      <t xml:space="preserve">富士</t>
    </r>
    <r>
      <rPr>
        <sz val="11"/>
        <rFont val="ＭＳ ゴシック"/>
        <family val="0"/>
        <charset val="1"/>
      </rPr>
      <t xml:space="preserve">S(G2)--&gt;</t>
    </r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</si>
  <si>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歳・価格帯○</t>
    </r>
  </si>
  <si>
    <t xml:space="preserve">シャルールの19</t>
  </si>
  <si>
    <t xml:space="preserve">トランキリテ (Tranquillite)</t>
  </si>
  <si>
    <r>
      <rPr>
        <sz val="11"/>
        <rFont val="ＭＳ ゴシック"/>
        <family val="0"/>
        <charset val="1"/>
      </rPr>
      <t xml:space="preserve">29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[4-3-2-20]</t>
    </r>
  </si>
  <si>
    <r>
      <rPr>
        <sz val="11"/>
        <rFont val="ＭＳ ゴシック"/>
        <family val="0"/>
        <charset val="1"/>
      </rPr>
      <t xml:space="preserve">24'</t>
    </r>
    <r>
      <rPr>
        <sz val="11"/>
        <rFont val="WenQuanYi Zen Hei"/>
        <family val="2"/>
      </rPr>
      <t xml:space="preserve">石清水</t>
    </r>
    <r>
      <rPr>
        <sz val="11"/>
        <rFont val="ＭＳ ゴシック"/>
        <family val="0"/>
        <charset val="1"/>
      </rPr>
      <t xml:space="preserve">S(3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)23'4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</si>
  <si>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月生・価格帯○</t>
    </r>
  </si>
  <si>
    <t xml:space="preserve">ベルディーヴァの19</t>
  </si>
  <si>
    <t xml:space="preserve">ベルシャンテ (Belle Chanter)</t>
  </si>
  <si>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[0-2-1-8]</t>
    </r>
  </si>
  <si>
    <t xml:space="preserve">アスティルの19</t>
  </si>
  <si>
    <t xml:space="preserve">シエルエトワール (Ciel Etoile)</t>
  </si>
  <si>
    <r>
      <rPr>
        <sz val="11"/>
        <rFont val="ＭＳ ゴシック"/>
        <family val="0"/>
        <charset val="1"/>
      </rPr>
      <t xml:space="preserve">30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[0-0-2-28]</t>
    </r>
  </si>
  <si>
    <t xml:space="preserve">リュシオルの19</t>
  </si>
  <si>
    <t xml:space="preserve">グリューヴルム (Gluhwurm)</t>
  </si>
  <si>
    <r>
      <rPr>
        <sz val="11"/>
        <rFont val="ＭＳ ゴシック"/>
        <family val="0"/>
        <charset val="1"/>
      </rPr>
      <t xml:space="preserve">25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6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[6-7-2-10]</t>
    </r>
  </si>
  <si>
    <r>
      <rPr>
        <sz val="11"/>
        <rFont val="ＭＳ ゴシック"/>
        <family val="0"/>
        <charset val="1"/>
      </rPr>
      <t xml:space="preserve">26'</t>
    </r>
    <r>
      <rPr>
        <sz val="11"/>
        <rFont val="WenQuanYi Zen Hei"/>
        <family val="2"/>
      </rPr>
      <t xml:space="preserve">金盃</t>
    </r>
    <r>
      <rPr>
        <sz val="11"/>
        <rFont val="ＭＳ ゴシック"/>
        <family val="0"/>
        <charset val="1"/>
      </rPr>
      <t xml:space="preserve">(G)25'</t>
    </r>
    <r>
      <rPr>
        <sz val="11"/>
        <rFont val="WenQuanYi Zen Hei"/>
        <family val="2"/>
      </rPr>
      <t xml:space="preserve">東京記念トライアル</t>
    </r>
    <r>
      <rPr>
        <sz val="11"/>
        <rFont val="ＭＳ ゴシック"/>
        <family val="0"/>
        <charset val="1"/>
      </rPr>
      <t xml:space="preserve">(OP)--&gt;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</si>
  <si>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445kg</t>
    </r>
  </si>
  <si>
    <t xml:space="preserve">クリソプレーズの19</t>
  </si>
  <si>
    <t xml:space="preserve">クリソプレーズの2019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</si>
  <si>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439kg</t>
    </r>
  </si>
  <si>
    <t xml:space="preserve">ワナダンスの19</t>
  </si>
  <si>
    <t xml:space="preserve">コルティーナ (Cortina)</t>
  </si>
  <si>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[0-0-1-7]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</si>
  <si>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488kg</t>
    </r>
  </si>
  <si>
    <t xml:space="preserve">レオパルディナの19</t>
  </si>
  <si>
    <t xml:space="preserve">ジャグアーロ (Giaguaro)</t>
  </si>
  <si>
    <t xml:space="preserve">カイカヨソウの19</t>
  </si>
  <si>
    <t xml:space="preserve">カイカノキセキ (Kaikano Kiseki)</t>
  </si>
  <si>
    <r>
      <rPr>
        <sz val="11"/>
        <rFont val="ＭＳ ゴシック"/>
        <family val="0"/>
        <charset val="1"/>
      </rPr>
      <t xml:space="preserve">25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[1-4-1-19]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</si>
  <si>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487kg</t>
    </r>
  </si>
  <si>
    <t xml:space="preserve">カニョットの19</t>
  </si>
  <si>
    <t xml:space="preserve">セレステイブランコ (Celeste y Blanco)</t>
  </si>
  <si>
    <t xml:space="preserve">シンハディーパの19</t>
  </si>
  <si>
    <t xml:space="preserve">シンハプーラ (Simha Pura)</t>
  </si>
  <si>
    <t xml:space="preserve">プリンセスカメリアの19</t>
  </si>
  <si>
    <t xml:space="preserve">リゴレット (Rigoletto)</t>
  </si>
  <si>
    <r>
      <rPr>
        <sz val="11"/>
        <rFont val="ＭＳ ゴシック"/>
        <family val="0"/>
        <charset val="1"/>
      </rPr>
      <t xml:space="preserve">21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[1-1-3-16]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</si>
  <si>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435kg</t>
    </r>
  </si>
  <si>
    <t xml:space="preserve">ブリトマルティスの19</t>
  </si>
  <si>
    <t xml:space="preserve">ラブリュス (Labrys)</t>
  </si>
  <si>
    <t xml:space="preserve">アジアエクスプレス</t>
  </si>
  <si>
    <r>
      <rPr>
        <sz val="11"/>
        <rFont val="ＭＳ ゴシック"/>
        <family val="0"/>
        <charset val="1"/>
      </rPr>
      <t xml:space="preserve">14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[1-0-0-13]</t>
    </r>
  </si>
  <si>
    <r>
      <rPr>
        <sz val="11"/>
        <rFont val="ＭＳ ゴシック"/>
        <family val="0"/>
        <charset val="1"/>
      </rPr>
      <t xml:space="preserve">21'2</t>
    </r>
    <r>
      <rPr>
        <sz val="11"/>
        <rFont val="WenQuanYi Zen Hei"/>
        <family val="2"/>
      </rPr>
      <t xml:space="preserve">歳未勝利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</si>
  <si>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450kg</t>
    </r>
  </si>
  <si>
    <t xml:space="preserve">ラフォルジュルネの19</t>
  </si>
  <si>
    <t xml:space="preserve">カルネドボヤージュ (Carnets de Voyage)</t>
  </si>
  <si>
    <t xml:space="preserve">エイシンフラッシュ</t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</si>
  <si>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C4</t>
    </r>
    <r>
      <rPr>
        <sz val="11"/>
        <rFont val="WenQuanYi Zen Hei"/>
        <family val="2"/>
      </rPr>
      <t xml:space="preserve">ー</t>
    </r>
    <r>
      <rPr>
        <sz val="11"/>
        <rFont val="ＭＳ ゴシック"/>
        <family val="0"/>
        <charset val="1"/>
      </rPr>
      <t xml:space="preserve">3--&gt;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</si>
  <si>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467kg</t>
    </r>
  </si>
  <si>
    <t xml:space="preserve">レインボーソングの19</t>
  </si>
  <si>
    <t xml:space="preserve">コンヴィクションⅡの19</t>
  </si>
  <si>
    <t xml:space="preserve">クレエンシア (Creencia)</t>
  </si>
  <si>
    <r>
      <rPr>
        <sz val="11"/>
        <rFont val="ＭＳ ゴシック"/>
        <family val="0"/>
        <charset val="1"/>
      </rPr>
      <t xml:space="preserve">5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[0-1-0-4]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</si>
  <si>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</t>
    </r>
  </si>
  <si>
    <t xml:space="preserve">ユールフェストの19</t>
  </si>
  <si>
    <t xml:space="preserve">ジェノランケーブ</t>
  </si>
  <si>
    <t xml:space="preserve">シルバーステート</t>
  </si>
  <si>
    <t xml:space="preserve">イマーキュレイトキャットの19</t>
  </si>
  <si>
    <t xml:space="preserve">イングレーヴ (Engrave)</t>
  </si>
  <si>
    <t xml:space="preserve">ダノンシャンティ</t>
  </si>
  <si>
    <r>
      <rPr>
        <sz val="11"/>
        <rFont val="WenQuanYi Zen Hei"/>
        <family val="2"/>
      </rPr>
      <t xml:space="preserve">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458kg</t>
    </r>
  </si>
  <si>
    <t xml:space="preserve">シンハリーズの19</t>
  </si>
  <si>
    <t xml:space="preserve">スリーパーダ (Sri Pada)</t>
  </si>
  <si>
    <r>
      <rPr>
        <sz val="11"/>
        <rFont val="ＭＳ ゴシック"/>
        <family val="0"/>
        <charset val="1"/>
      </rPr>
      <t xml:space="preserve">18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[3-2-1-12]</t>
    </r>
  </si>
  <si>
    <r>
      <rPr>
        <sz val="11"/>
        <rFont val="ＭＳ ゴシック"/>
        <family val="0"/>
        <charset val="1"/>
      </rPr>
      <t xml:space="preserve">23'</t>
    </r>
    <r>
      <rPr>
        <sz val="11"/>
        <rFont val="WenQuanYi Zen Hei"/>
        <family val="2"/>
      </rPr>
      <t xml:space="preserve">水無月</t>
    </r>
    <r>
      <rPr>
        <sz val="11"/>
        <rFont val="ＭＳ ゴシック"/>
        <family val="0"/>
        <charset val="1"/>
      </rPr>
      <t xml:space="preserve">S(3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)22'</t>
    </r>
    <r>
      <rPr>
        <sz val="11"/>
        <rFont val="WenQuanYi Zen Hei"/>
        <family val="2"/>
      </rPr>
      <t xml:space="preserve">北摂特別</t>
    </r>
    <r>
      <rPr>
        <sz val="11"/>
        <rFont val="ＭＳ ゴシック"/>
        <family val="0"/>
        <charset val="1"/>
      </rPr>
      <t xml:space="preserve">(2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)--&gt;</t>
    </r>
  </si>
  <si>
    <t xml:space="preserve">シャレードスマイルの19</t>
  </si>
  <si>
    <t xml:space="preserve">スマイルアプローズ (Smile Applause)</t>
  </si>
  <si>
    <r>
      <rPr>
        <sz val="11"/>
        <rFont val="ＭＳ ゴシック"/>
        <family val="0"/>
        <charset val="1"/>
      </rPr>
      <t xml:space="preserve">6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[0-0-0-6]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</si>
  <si>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435kg</t>
    </r>
  </si>
  <si>
    <t xml:space="preserve">タリサの19</t>
  </si>
  <si>
    <t xml:space="preserve">ダグザ (Dagda)</t>
  </si>
  <si>
    <t xml:space="preserve">Shalaa</t>
  </si>
  <si>
    <r>
      <rPr>
        <sz val="11"/>
        <rFont val="ＭＳ ゴシック"/>
        <family val="0"/>
        <charset val="1"/>
      </rPr>
      <t xml:space="preserve">84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5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[5-12-9-58]</t>
    </r>
  </si>
  <si>
    <t xml:space="preserve">B2C1--&gt;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</si>
  <si>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431kg</t>
    </r>
  </si>
  <si>
    <t xml:space="preserve">オーラレガーレの19</t>
  </si>
  <si>
    <t xml:space="preserve">フィリオデルソル (Figlio del Sol)</t>
  </si>
  <si>
    <t xml:space="preserve">クリエイターⅡ</t>
  </si>
  <si>
    <r>
      <rPr>
        <sz val="11"/>
        <rFont val="ＭＳ ゴシック"/>
        <family val="0"/>
        <charset val="1"/>
      </rPr>
      <t xml:space="preserve">30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7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[7-5-6-12]</t>
    </r>
  </si>
  <si>
    <r>
      <rPr>
        <sz val="11"/>
        <rFont val="ＭＳ ゴシック"/>
        <family val="0"/>
        <charset val="1"/>
      </rPr>
      <t xml:space="preserve">21'JRA</t>
    </r>
    <r>
      <rPr>
        <sz val="11"/>
        <rFont val="WenQuanYi Zen Hei"/>
        <family val="2"/>
      </rPr>
      <t xml:space="preserve">認定ウィナーズチャレンジ</t>
    </r>
    <r>
      <rPr>
        <sz val="11"/>
        <rFont val="ＭＳ ゴシック"/>
        <family val="0"/>
        <charset val="1"/>
      </rPr>
      <t xml:space="preserve">3(OP)21'JRA</t>
    </r>
    <r>
      <rPr>
        <sz val="11"/>
        <rFont val="WenQuanYi Zen Hei"/>
        <family val="2"/>
      </rPr>
      <t xml:space="preserve">認定フレッシュチャレンジ</t>
    </r>
    <r>
      <rPr>
        <sz val="11"/>
        <rFont val="ＭＳ 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新馬</t>
    </r>
    <r>
      <rPr>
        <sz val="11"/>
        <rFont val="ＭＳ ゴシック"/>
        <family val="0"/>
        <charset val="1"/>
      </rPr>
      <t xml:space="preserve">)--&gt;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</si>
  <si>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</t>
    </r>
  </si>
  <si>
    <t xml:space="preserve">アンソロジーの19</t>
  </si>
  <si>
    <t xml:space="preserve">プライルード (Praelude)</t>
  </si>
  <si>
    <t xml:space="preserve">ラブリーデイ</t>
  </si>
  <si>
    <r>
      <rPr>
        <sz val="11"/>
        <rFont val="ＭＳ ゴシック"/>
        <family val="0"/>
        <charset val="1"/>
      </rPr>
      <t xml:space="preserve">29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[8-4-4-13]</t>
    </r>
  </si>
  <si>
    <r>
      <rPr>
        <sz val="11"/>
        <rFont val="ＭＳ ゴシック"/>
        <family val="0"/>
        <charset val="1"/>
      </rPr>
      <t xml:space="preserve">22'</t>
    </r>
    <r>
      <rPr>
        <sz val="11"/>
        <rFont val="WenQuanYi Zen Hei"/>
        <family val="2"/>
      </rPr>
      <t xml:space="preserve">優駿スプリント</t>
    </r>
    <r>
      <rPr>
        <sz val="11"/>
        <rFont val="ＭＳ ゴシック"/>
        <family val="0"/>
        <charset val="1"/>
      </rPr>
      <t xml:space="preserve">(G)22'</t>
    </r>
    <r>
      <rPr>
        <sz val="11"/>
        <rFont val="WenQuanYi Zen Hei"/>
        <family val="2"/>
      </rPr>
      <t xml:space="preserve">アフター</t>
    </r>
    <r>
      <rPr>
        <sz val="11"/>
        <rFont val="ＭＳ ゴシック"/>
        <family val="0"/>
        <charset val="1"/>
      </rPr>
      <t xml:space="preserve">5</t>
    </r>
    <r>
      <rPr>
        <sz val="11"/>
        <rFont val="WenQuanYi Zen Hei"/>
        <family val="2"/>
      </rPr>
      <t xml:space="preserve">スター賞</t>
    </r>
    <r>
      <rPr>
        <sz val="11"/>
        <rFont val="ＭＳ ゴシック"/>
        <family val="0"/>
        <charset val="1"/>
      </rPr>
      <t xml:space="preserve">(G)--&gt;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</si>
  <si>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448kg</t>
    </r>
  </si>
  <si>
    <t xml:space="preserve">レッドソンブレロの19</t>
  </si>
  <si>
    <t xml:space="preserve">スカーレットピース (Scarlet Piece)</t>
  </si>
  <si>
    <r>
      <rPr>
        <sz val="11"/>
        <rFont val="ＭＳ ゴシック"/>
        <family val="0"/>
        <charset val="1"/>
      </rPr>
      <t xml:space="preserve">20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[4-3-3-10]</t>
    </r>
  </si>
  <si>
    <r>
      <rPr>
        <sz val="11"/>
        <rFont val="ＭＳ ゴシック"/>
        <family val="0"/>
        <charset val="1"/>
      </rPr>
      <t xml:space="preserve">21'JRA</t>
    </r>
    <r>
      <rPr>
        <sz val="11"/>
        <rFont val="WenQuanYi Zen Hei"/>
        <family val="2"/>
      </rPr>
      <t xml:space="preserve">認定フレッシュチャレンジ</t>
    </r>
    <r>
      <rPr>
        <sz val="11"/>
        <rFont val="ＭＳ 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新馬</t>
    </r>
    <r>
      <rPr>
        <sz val="11"/>
        <rFont val="ＭＳ ゴシック"/>
        <family val="0"/>
        <charset val="1"/>
      </rPr>
      <t xml:space="preserve">)B1--&gt;</t>
    </r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</si>
  <si>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443kg</t>
    </r>
  </si>
  <si>
    <t xml:space="preserve">パールズシャインの19</t>
  </si>
  <si>
    <t xml:space="preserve">パールズウィッシュ (Pearl's Wish)</t>
  </si>
  <si>
    <r>
      <rPr>
        <sz val="11"/>
        <rFont val="ＭＳ ゴシック"/>
        <family val="0"/>
        <charset val="1"/>
      </rPr>
      <t xml:space="preserve">20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[1-2-5-12]</t>
    </r>
  </si>
  <si>
    <t xml:space="preserve">特選--&gt;</t>
  </si>
  <si>
    <t xml:space="preserve">ギャラリートークの19</t>
  </si>
  <si>
    <t xml:space="preserve">アートクリティック (Art Critic)</t>
  </si>
  <si>
    <t xml:space="preserve">ロゴタイプ</t>
  </si>
  <si>
    <r>
      <rPr>
        <sz val="11"/>
        <rFont val="ＭＳ ゴシック"/>
        <family val="0"/>
        <charset val="1"/>
      </rPr>
      <t xml:space="preserve">35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[1-1-5-28]</t>
    </r>
  </si>
  <si>
    <t xml:space="preserve">迦陵頻伽賞--&gt;</t>
  </si>
  <si>
    <t xml:space="preserve">ナスケンアイリスの2020</t>
  </si>
  <si>
    <t xml:space="preserve">プロテア (Protea)</t>
  </si>
  <si>
    <r>
      <rPr>
        <sz val="11"/>
        <rFont val="ＭＳ ゴシック"/>
        <family val="0"/>
        <charset val="1"/>
      </rPr>
      <t xml:space="preserve">34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7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[7-6-4-17]</t>
    </r>
  </si>
  <si>
    <r>
      <rPr>
        <sz val="11"/>
        <rFont val="ＭＳ ゴシック"/>
        <family val="0"/>
        <charset val="1"/>
      </rPr>
      <t xml:space="preserve">25'4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B</t>
    </r>
    <r>
      <rPr>
        <sz val="11"/>
        <rFont val="WenQuanYi Zen Hei"/>
        <family val="2"/>
      </rPr>
      <t xml:space="preserve">ー</t>
    </r>
    <r>
      <rPr>
        <sz val="11"/>
        <rFont val="ＭＳ ゴシック"/>
        <family val="0"/>
        <charset val="1"/>
      </rPr>
      <t xml:space="preserve">3--&gt;</t>
    </r>
  </si>
  <si>
    <t xml:space="preserve">牡・価格帯○</t>
  </si>
  <si>
    <t xml:space="preserve">コケレールの2020</t>
  </si>
  <si>
    <t xml:space="preserve">スティルディマーレ (Still di Mare)</t>
  </si>
  <si>
    <r>
      <rPr>
        <sz val="11"/>
        <rFont val="ＭＳ ゴシック"/>
        <family val="0"/>
        <charset val="1"/>
      </rPr>
      <t xml:space="preserve">21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[3-5-0-13]</t>
    </r>
  </si>
  <si>
    <r>
      <rPr>
        <sz val="11"/>
        <rFont val="ＭＳ ゴシック"/>
        <family val="0"/>
        <charset val="1"/>
      </rPr>
      <t xml:space="preserve">23'3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23'3</t>
    </r>
    <r>
      <rPr>
        <sz val="11"/>
        <rFont val="WenQuanYi Zen Hei"/>
        <family val="2"/>
      </rPr>
      <t xml:space="preserve">歳未勝利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</si>
  <si>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483kg</t>
    </r>
  </si>
  <si>
    <t xml:space="preserve">ラドラーダの2020</t>
  </si>
  <si>
    <t xml:space="preserve">ラディアンシア (Radiancia)</t>
  </si>
  <si>
    <t xml:space="preserve">シーザリオの2020</t>
  </si>
  <si>
    <t xml:space="preserve">テンペスト (Tempest)</t>
  </si>
  <si>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[1-2-3-2]</t>
    </r>
  </si>
  <si>
    <r>
      <rPr>
        <sz val="11"/>
        <rFont val="ＭＳ ゴシック"/>
        <family val="0"/>
        <charset val="1"/>
      </rPr>
      <t xml:space="preserve">23'3</t>
    </r>
    <r>
      <rPr>
        <sz val="11"/>
        <rFont val="WenQuanYi Zen Hei"/>
        <family val="2"/>
      </rPr>
      <t xml:space="preserve">歳未勝利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</si>
  <si>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443kg</t>
    </r>
  </si>
  <si>
    <t xml:space="preserve">アドマイヤリードの2020</t>
  </si>
  <si>
    <t xml:space="preserve">キュムラス (Cumulus)</t>
  </si>
  <si>
    <t xml:space="preserve">クルージンミジーの2020</t>
  </si>
  <si>
    <t xml:space="preserve">ファンネルマーク (Funnel Mark)</t>
  </si>
  <si>
    <r>
      <rPr>
        <sz val="11"/>
        <rFont val="ＭＳ ゴシック"/>
        <family val="0"/>
        <charset val="1"/>
      </rPr>
      <t xml:space="preserve">22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[1-0-2-19]</t>
    </r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</si>
  <si>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歳 </t>
    </r>
    <r>
      <rPr>
        <sz val="11"/>
        <rFont val="ＭＳ ゴシック"/>
        <family val="0"/>
        <charset val="1"/>
      </rPr>
      <t xml:space="preserve">150</t>
    </r>
    <r>
      <rPr>
        <sz val="11"/>
        <rFont val="WenQuanYi Zen Hei"/>
        <family val="2"/>
      </rPr>
      <t xml:space="preserve">万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</si>
  <si>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477kg</t>
    </r>
  </si>
  <si>
    <t xml:space="preserve">マイハッピーフェイスの2020</t>
  </si>
  <si>
    <t xml:space="preserve">レディエンフェイス (Radiant Face)</t>
  </si>
  <si>
    <r>
      <rPr>
        <sz val="11"/>
        <rFont val="ＭＳ ゴシック"/>
        <family val="0"/>
        <charset val="1"/>
      </rPr>
      <t xml:space="preserve">7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[0-1-3-3]</t>
    </r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</si>
  <si>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471kg</t>
    </r>
  </si>
  <si>
    <t xml:space="preserve">ローガンサファイアの2020</t>
  </si>
  <si>
    <t xml:space="preserve">ゴールドシーン (Gold Sheen)</t>
  </si>
  <si>
    <r>
      <rPr>
        <sz val="11"/>
        <rFont val="ＭＳ ゴシック"/>
        <family val="0"/>
        <charset val="1"/>
      </rPr>
      <t xml:space="preserve">18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[1-3-1-13]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</si>
  <si>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445kg</t>
    </r>
  </si>
  <si>
    <t xml:space="preserve">バウンスシャッセの2020</t>
  </si>
  <si>
    <t xml:space="preserve">レヴォルタード (Revoltade)</t>
  </si>
  <si>
    <r>
      <rPr>
        <sz val="11"/>
        <rFont val="ＭＳ ゴシック"/>
        <family val="0"/>
        <charset val="1"/>
      </rPr>
      <t xml:space="preserve">22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[2-1-2-17]</t>
    </r>
  </si>
  <si>
    <r>
      <rPr>
        <sz val="11"/>
        <rFont val="ＭＳ ゴシック"/>
        <family val="0"/>
        <charset val="1"/>
      </rPr>
      <t xml:space="preserve">23'3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22'2</t>
    </r>
    <r>
      <rPr>
        <sz val="11"/>
        <rFont val="WenQuanYi Zen Hei"/>
        <family val="2"/>
      </rPr>
      <t xml:space="preserve">歳未勝利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</si>
  <si>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476kg</t>
    </r>
  </si>
  <si>
    <t xml:space="preserve">プルメリアスターの2020</t>
  </si>
  <si>
    <t xml:space="preserve">ココクレーター (Koko Crater)</t>
  </si>
  <si>
    <r>
      <rPr>
        <sz val="11"/>
        <rFont val="ＭＳ ゴシック"/>
        <family val="0"/>
        <charset val="1"/>
      </rPr>
      <t xml:space="preserve">16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[3-2-2-9]</t>
    </r>
  </si>
  <si>
    <r>
      <rPr>
        <sz val="11"/>
        <rFont val="ＭＳ ゴシック"/>
        <family val="0"/>
        <charset val="1"/>
      </rPr>
      <t xml:space="preserve">24'4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23'3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</si>
  <si>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歳・価格帯○</t>
    </r>
  </si>
  <si>
    <t xml:space="preserve">モアザンセイクリッドの2020</t>
  </si>
  <si>
    <t xml:space="preserve">ドゥレッツァ (Durezza)</t>
  </si>
  <si>
    <r>
      <rPr>
        <sz val="11"/>
        <rFont val="ＭＳ ゴシック"/>
        <family val="0"/>
        <charset val="1"/>
      </rPr>
      <t xml:space="preserve">13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5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[5-2-2-4]</t>
    </r>
  </si>
  <si>
    <r>
      <rPr>
        <sz val="11"/>
        <rFont val="ＭＳ ゴシック"/>
        <family val="0"/>
        <charset val="1"/>
      </rPr>
      <t xml:space="preserve">23'</t>
    </r>
    <r>
      <rPr>
        <sz val="11"/>
        <rFont val="WenQuanYi Zen Hei"/>
        <family val="2"/>
      </rPr>
      <t xml:space="preserve">菊花賞</t>
    </r>
    <r>
      <rPr>
        <sz val="11"/>
        <rFont val="ＭＳ ゴシック"/>
        <family val="0"/>
        <charset val="1"/>
      </rPr>
      <t xml:space="preserve">(G1)23'</t>
    </r>
    <r>
      <rPr>
        <sz val="11"/>
        <rFont val="WenQuanYi Zen Hei"/>
        <family val="2"/>
      </rPr>
      <t xml:space="preserve">日本海</t>
    </r>
    <r>
      <rPr>
        <sz val="11"/>
        <rFont val="ＭＳ ゴシック"/>
        <family val="0"/>
        <charset val="1"/>
      </rPr>
      <t xml:space="preserve">S(3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</si>
  <si>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歳・価格帯○</t>
    </r>
  </si>
  <si>
    <t xml:space="preserve">ステファニーズキトゥンの2020</t>
  </si>
  <si>
    <t xml:space="preserve">バロンゾラーレ (Ballonzolare)</t>
  </si>
  <si>
    <r>
      <rPr>
        <sz val="11"/>
        <rFont val="ＭＳ ゴシック"/>
        <family val="0"/>
        <charset val="1"/>
      </rPr>
      <t xml:space="preserve">5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[0-0-2-3]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</si>
  <si>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473kg</t>
    </r>
  </si>
  <si>
    <t xml:space="preserve">ブリガアルタの2020</t>
  </si>
  <si>
    <t xml:space="preserve">マルグアレイス (Marguareis)</t>
  </si>
  <si>
    <r>
      <rPr>
        <sz val="11"/>
        <rFont val="ＭＳ ゴシック"/>
        <family val="0"/>
        <charset val="1"/>
      </rPr>
      <t xml:space="preserve">7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[0-2-1-4]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</si>
  <si>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458kg</t>
    </r>
  </si>
  <si>
    <t xml:space="preserve">ルージュバックの2020</t>
  </si>
  <si>
    <t xml:space="preserve">フレーヴァード (Flavored)</t>
  </si>
  <si>
    <r>
      <rPr>
        <sz val="11"/>
        <rFont val="ＭＳ ゴシック"/>
        <family val="0"/>
        <charset val="1"/>
      </rPr>
      <t xml:space="preserve">13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[3-1-1-8]</t>
    </r>
  </si>
  <si>
    <r>
      <rPr>
        <sz val="11"/>
        <rFont val="ＭＳ ゴシック"/>
        <family val="0"/>
        <charset val="1"/>
      </rPr>
      <t xml:space="preserve">23'2003</t>
    </r>
    <r>
      <rPr>
        <sz val="11"/>
        <rFont val="WenQuanYi Zen Hei"/>
        <family val="2"/>
      </rPr>
      <t xml:space="preserve">メモリアルシンボリクリスエス</t>
    </r>
    <r>
      <rPr>
        <sz val="11"/>
        <rFont val="ＭＳ ゴシック"/>
        <family val="0"/>
        <charset val="1"/>
      </rPr>
      <t xml:space="preserve">C(2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)23'3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</si>
  <si>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441kg</t>
    </r>
  </si>
  <si>
    <t xml:space="preserve">ケイティーズハートの2020</t>
  </si>
  <si>
    <t xml:space="preserve">ペリファーニア (Perifania)</t>
  </si>
  <si>
    <r>
      <rPr>
        <sz val="11"/>
        <rFont val="ＭＳ ゴシック"/>
        <family val="0"/>
        <charset val="1"/>
      </rPr>
      <t xml:space="preserve">13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[3-3-2-5]</t>
    </r>
  </si>
  <si>
    <r>
      <rPr>
        <sz val="11"/>
        <rFont val="ＭＳ ゴシック"/>
        <family val="0"/>
        <charset val="1"/>
      </rPr>
      <t xml:space="preserve">25'</t>
    </r>
    <r>
      <rPr>
        <sz val="11"/>
        <rFont val="WenQuanYi Zen Hei"/>
        <family val="2"/>
      </rPr>
      <t xml:space="preserve">高尾特別</t>
    </r>
    <r>
      <rPr>
        <sz val="11"/>
        <rFont val="ＭＳ ゴシック"/>
        <family val="0"/>
        <charset val="1"/>
      </rPr>
      <t xml:space="preserve">(2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)24'4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</si>
  <si>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476kg</t>
    </r>
  </si>
  <si>
    <t xml:space="preserve">シュピッツェの2020</t>
  </si>
  <si>
    <t xml:space="preserve">エルフォルク (Erfolg)</t>
  </si>
  <si>
    <r>
      <rPr>
        <sz val="11"/>
        <rFont val="ＭＳ ゴシック"/>
        <family val="0"/>
        <charset val="1"/>
      </rPr>
      <t xml:space="preserve">18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[0-2-2-14]</t>
    </r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</si>
  <si>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</t>
    </r>
  </si>
  <si>
    <t xml:space="preserve">エンジェルフォールの2020</t>
  </si>
  <si>
    <t xml:space="preserve">グランサバナ (Gran Sabana)</t>
  </si>
  <si>
    <r>
      <rPr>
        <sz val="11"/>
        <rFont val="ＭＳ ゴシック"/>
        <family val="0"/>
        <charset val="1"/>
      </rPr>
      <t xml:space="preserve">17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[3-3-2-9]</t>
    </r>
  </si>
  <si>
    <r>
      <rPr>
        <sz val="11"/>
        <rFont val="ＭＳ ゴシック"/>
        <family val="0"/>
        <charset val="1"/>
      </rPr>
      <t xml:space="preserve">24'</t>
    </r>
    <r>
      <rPr>
        <sz val="11"/>
        <rFont val="WenQuanYi Zen Hei"/>
        <family val="2"/>
      </rPr>
      <t xml:space="preserve">鎌ケ谷特別</t>
    </r>
    <r>
      <rPr>
        <sz val="11"/>
        <rFont val="ＭＳ ゴシック"/>
        <family val="0"/>
        <charset val="1"/>
      </rPr>
      <t xml:space="preserve">(2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)23'3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</si>
  <si>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434kg</t>
    </r>
  </si>
  <si>
    <t xml:space="preserve">バイラオーラの2020</t>
  </si>
  <si>
    <t xml:space="preserve">ソレア (Solea)</t>
  </si>
  <si>
    <r>
      <rPr>
        <sz val="11"/>
        <rFont val="ＭＳ ゴシック"/>
        <family val="0"/>
        <charset val="1"/>
      </rPr>
      <t xml:space="preserve">37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5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[5-3-4-25]</t>
    </r>
  </si>
  <si>
    <t xml:space="preserve">トルマリンダッシュC1四 五六 イ--&gt;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</si>
  <si>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431kg</t>
    </r>
  </si>
  <si>
    <t xml:space="preserve">メジロシャレードの2020</t>
  </si>
  <si>
    <t xml:space="preserve">レイクトロシュナ (Lake Tolochenaz)</t>
  </si>
  <si>
    <r>
      <rPr>
        <sz val="11"/>
        <rFont val="WenQuanYi Zen Hei"/>
        <family val="2"/>
      </rPr>
      <t xml:space="preserve">価格帯○・</t>
    </r>
    <r>
      <rPr>
        <sz val="11"/>
        <rFont val="ＭＳ ゴシック"/>
        <family val="0"/>
        <charset val="1"/>
      </rPr>
      <t xml:space="preserve">500kg</t>
    </r>
  </si>
  <si>
    <t xml:space="preserve">プンタステラの2020</t>
  </si>
  <si>
    <t xml:space="preserve">スティールウィル (Steel Will)</t>
  </si>
  <si>
    <r>
      <rPr>
        <sz val="11"/>
        <rFont val="ＭＳ ゴシック"/>
        <family val="0"/>
        <charset val="1"/>
      </rPr>
      <t xml:space="preserve">31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6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[6-6-2-17]</t>
    </r>
  </si>
  <si>
    <t xml:space="preserve">馬い!卵はサンサンエッグ馬い!盛岡早生ふじリンゴ発売記念--&gt;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</si>
  <si>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454kg</t>
    </r>
  </si>
  <si>
    <t xml:space="preserve">エクストラペトルの2020</t>
  </si>
  <si>
    <t xml:space="preserve">アンスリウム (Anthurium)</t>
  </si>
  <si>
    <r>
      <rPr>
        <sz val="11"/>
        <rFont val="ＭＳ ゴシック"/>
        <family val="0"/>
        <charset val="1"/>
      </rPr>
      <t xml:space="preserve">15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[2-1-7-5]</t>
    </r>
  </si>
  <si>
    <r>
      <rPr>
        <sz val="11"/>
        <rFont val="ＭＳ ゴシック"/>
        <family val="0"/>
        <charset val="1"/>
      </rPr>
      <t xml:space="preserve">24'4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23'3</t>
    </r>
    <r>
      <rPr>
        <sz val="11"/>
        <rFont val="WenQuanYi Zen Hei"/>
        <family val="2"/>
      </rPr>
      <t xml:space="preserve">歳未勝利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</si>
  <si>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468kg</t>
    </r>
  </si>
  <si>
    <t xml:space="preserve">マイティースルーの2020</t>
  </si>
  <si>
    <t xml:space="preserve">フェブランシェ (Fee Blanche)</t>
  </si>
  <si>
    <r>
      <rPr>
        <sz val="11"/>
        <rFont val="ＭＳ ゴシック"/>
        <family val="0"/>
        <charset val="1"/>
      </rPr>
      <t xml:space="preserve">18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6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[6-2-1-9]</t>
    </r>
  </si>
  <si>
    <r>
      <rPr>
        <sz val="11"/>
        <rFont val="ＭＳ ゴシック"/>
        <family val="0"/>
        <charset val="1"/>
      </rPr>
      <t xml:space="preserve">25'</t>
    </r>
    <r>
      <rPr>
        <sz val="11"/>
        <rFont val="WenQuanYi Zen Hei"/>
        <family val="2"/>
      </rPr>
      <t xml:space="preserve">スパーキングレディー</t>
    </r>
    <r>
      <rPr>
        <sz val="11"/>
        <rFont val="ＭＳ ゴシック"/>
        <family val="0"/>
        <charset val="1"/>
      </rPr>
      <t xml:space="preserve">C((G3)24'</t>
    </r>
    <r>
      <rPr>
        <sz val="11"/>
        <rFont val="WenQuanYi Zen Hei"/>
        <family val="2"/>
      </rPr>
      <t xml:space="preserve">東京シンデレラマイル</t>
    </r>
    <r>
      <rPr>
        <sz val="11"/>
        <rFont val="ＭＳ ゴシック"/>
        <family val="0"/>
        <charset val="1"/>
      </rPr>
      <t xml:space="preserve">(G)--&gt;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</si>
  <si>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518kg</t>
    </r>
  </si>
  <si>
    <t xml:space="preserve">ワシントンレガシーの2020</t>
  </si>
  <si>
    <t xml:space="preserve">ハリケーンリッジ (Hurricane Ridge)</t>
  </si>
  <si>
    <r>
      <rPr>
        <sz val="11"/>
        <rFont val="ＭＳ ゴシック"/>
        <family val="0"/>
        <charset val="1"/>
      </rPr>
      <t xml:space="preserve">15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[2-2-4-7]</t>
    </r>
  </si>
  <si>
    <r>
      <rPr>
        <sz val="11"/>
        <rFont val="ＭＳ ゴシック"/>
        <family val="0"/>
        <charset val="1"/>
      </rPr>
      <t xml:space="preserve">24'3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23'3</t>
    </r>
    <r>
      <rPr>
        <sz val="11"/>
        <rFont val="WenQuanYi Zen Hei"/>
        <family val="2"/>
      </rPr>
      <t xml:space="preserve">歳未勝利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</si>
  <si>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438kg</t>
    </r>
  </si>
  <si>
    <t xml:space="preserve">ロスヴァイセの2020</t>
  </si>
  <si>
    <t xml:space="preserve">スキルヴィング (Skilfing)</t>
  </si>
  <si>
    <r>
      <rPr>
        <sz val="11"/>
        <rFont val="ＭＳ ゴシック"/>
        <family val="0"/>
        <charset val="1"/>
      </rPr>
      <t xml:space="preserve">5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[3-1-0-1]</t>
    </r>
  </si>
  <si>
    <r>
      <rPr>
        <sz val="11"/>
        <rFont val="ＭＳ ゴシック"/>
        <family val="0"/>
        <charset val="1"/>
      </rPr>
      <t xml:space="preserve">23'</t>
    </r>
    <r>
      <rPr>
        <sz val="11"/>
        <rFont val="WenQuanYi Zen Hei"/>
        <family val="2"/>
      </rPr>
      <t xml:space="preserve">青葉賞</t>
    </r>
    <r>
      <rPr>
        <sz val="11"/>
        <rFont val="ＭＳ ゴシック"/>
        <family val="0"/>
        <charset val="1"/>
      </rPr>
      <t xml:space="preserve">(G2)23'</t>
    </r>
    <r>
      <rPr>
        <sz val="11"/>
        <rFont val="WenQuanYi Zen Hei"/>
        <family val="2"/>
      </rPr>
      <t xml:space="preserve">ゆりかもめ賞</t>
    </r>
    <r>
      <rPr>
        <sz val="11"/>
        <rFont val="ＭＳ ゴシック"/>
        <family val="0"/>
        <charset val="1"/>
      </rPr>
      <t xml:space="preserve">(1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</si>
  <si>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506kg</t>
    </r>
  </si>
  <si>
    <t xml:space="preserve">シンハディーパの2020</t>
  </si>
  <si>
    <t xml:space="preserve">ディバイングレース (Divine Grace)</t>
  </si>
  <si>
    <r>
      <rPr>
        <sz val="11"/>
        <rFont val="ＭＳ ゴシック"/>
        <family val="0"/>
        <charset val="1"/>
      </rPr>
      <t xml:space="preserve">19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[1-2-1-15]</t>
    </r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</si>
  <si>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歳・価格帯○</t>
    </r>
  </si>
  <si>
    <t xml:space="preserve">ヒカルアモーレの2020</t>
  </si>
  <si>
    <t xml:space="preserve">ルクスグローリア (Lux Gloria)</t>
  </si>
  <si>
    <t xml:space="preserve">サトノダイヤモンド</t>
  </si>
  <si>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[0-1-0-0]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</si>
  <si>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月生・価格帯○・</t>
    </r>
    <r>
      <rPr>
        <sz val="11"/>
        <rFont val="ＭＳ ゴシック"/>
        <family val="0"/>
        <charset val="1"/>
      </rPr>
      <t xml:space="preserve">465kg</t>
    </r>
  </si>
  <si>
    <t xml:space="preserve">エンシェントヒルの2020</t>
  </si>
  <si>
    <t xml:space="preserve">ウォーカーカップ (Walker Cup)</t>
  </si>
  <si>
    <r>
      <rPr>
        <sz val="11"/>
        <rFont val="ＭＳ ゴシック"/>
        <family val="0"/>
        <charset val="1"/>
      </rPr>
      <t xml:space="preserve">31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[1-2-4-24]</t>
    </r>
  </si>
  <si>
    <r>
      <rPr>
        <sz val="11"/>
        <rFont val="ＭＳ ゴシック"/>
        <family val="0"/>
        <charset val="1"/>
      </rPr>
      <t xml:space="preserve">C13</t>
    </r>
    <r>
      <rPr>
        <sz val="11"/>
        <rFont val="WenQuanYi Zen Hei"/>
        <family val="2"/>
      </rPr>
      <t xml:space="preserve">組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</si>
  <si>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458kg</t>
    </r>
  </si>
  <si>
    <t xml:space="preserve">アドマイヤアロマの2020</t>
  </si>
  <si>
    <t xml:space="preserve">フラグランツァ (Fragranza)</t>
  </si>
  <si>
    <r>
      <rPr>
        <sz val="11"/>
        <rFont val="ＭＳ ゴシック"/>
        <family val="0"/>
        <charset val="1"/>
      </rPr>
      <t xml:space="preserve">23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5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[5-5-2-11]</t>
    </r>
  </si>
  <si>
    <r>
      <rPr>
        <sz val="11"/>
        <rFont val="ＭＳ ゴシック"/>
        <family val="0"/>
        <charset val="1"/>
      </rPr>
      <t xml:space="preserve">C2</t>
    </r>
    <r>
      <rPr>
        <sz val="11"/>
        <rFont val="WenQuanYi Zen Hei"/>
        <family val="2"/>
      </rPr>
      <t xml:space="preserve">五 六</t>
    </r>
    <r>
      <rPr>
        <sz val="11"/>
        <rFont val="ＭＳ ゴシック"/>
        <family val="0"/>
        <charset val="1"/>
      </rPr>
      <t xml:space="preserve">C216 17--&gt;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</si>
  <si>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441kg</t>
    </r>
  </si>
  <si>
    <t xml:space="preserve">フェルミオンの2020</t>
  </si>
  <si>
    <t xml:space="preserve">フェルミディラック (Fermi Dirac)</t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</si>
  <si>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463kg</t>
    </r>
  </si>
  <si>
    <t xml:space="preserve">ココファンタジアの2020</t>
  </si>
  <si>
    <t xml:space="preserve">ファンタジスタ (Fantasista)</t>
  </si>
  <si>
    <r>
      <rPr>
        <sz val="11"/>
        <rFont val="ＭＳ ゴシック"/>
        <family val="0"/>
        <charset val="1"/>
      </rPr>
      <t xml:space="preserve">24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[1-4-2-17]</t>
    </r>
  </si>
  <si>
    <r>
      <rPr>
        <sz val="11"/>
        <rFont val="ＭＳ ゴシック"/>
        <family val="0"/>
        <charset val="1"/>
      </rPr>
      <t xml:space="preserve">C23</t>
    </r>
    <r>
      <rPr>
        <sz val="11"/>
        <rFont val="WenQuanYi Zen Hei"/>
        <family val="2"/>
      </rPr>
      <t xml:space="preserve">組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</si>
  <si>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牡・価格帯○・</t>
    </r>
    <r>
      <rPr>
        <sz val="11"/>
        <rFont val="ＭＳ ゴシック"/>
        <family val="0"/>
        <charset val="1"/>
      </rPr>
      <t xml:space="preserve">469kg</t>
    </r>
  </si>
  <si>
    <t xml:space="preserve">クローバーリーフの2020</t>
  </si>
  <si>
    <t xml:space="preserve">イルディヴィーノ (Il Divino)</t>
  </si>
  <si>
    <r>
      <rPr>
        <sz val="11"/>
        <rFont val="ＭＳ ゴシック"/>
        <family val="0"/>
        <charset val="1"/>
      </rPr>
      <t xml:space="preserve">15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[2-0-2-11]</t>
    </r>
  </si>
  <si>
    <r>
      <rPr>
        <sz val="11"/>
        <rFont val="ＭＳ ゴシック"/>
        <family val="0"/>
        <charset val="1"/>
      </rPr>
      <t xml:space="preserve">25'</t>
    </r>
    <r>
      <rPr>
        <sz val="11"/>
        <rFont val="WenQuanYi Zen Hei"/>
        <family val="2"/>
      </rPr>
      <t xml:space="preserve">障害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歳以上未勝利</t>
    </r>
    <r>
      <rPr>
        <sz val="11"/>
        <rFont val="ＭＳ ゴシック"/>
        <family val="0"/>
        <charset val="1"/>
      </rPr>
      <t xml:space="preserve">22'2</t>
    </r>
    <r>
      <rPr>
        <sz val="11"/>
        <rFont val="WenQuanYi Zen Hei"/>
        <family val="2"/>
      </rPr>
      <t xml:space="preserve">歳新馬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</si>
  <si>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473kg</t>
    </r>
  </si>
  <si>
    <t xml:space="preserve">パルティトゥーラの2020</t>
  </si>
  <si>
    <t xml:space="preserve">タスティエーラ (Tastiera)</t>
  </si>
  <si>
    <t xml:space="preserve">サトノクラウン</t>
  </si>
  <si>
    <r>
      <rPr>
        <sz val="11"/>
        <rFont val="ＭＳ ゴシック"/>
        <family val="0"/>
        <charset val="1"/>
      </rPr>
      <t xml:space="preserve">15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[4-3-1-7]</t>
    </r>
  </si>
  <si>
    <r>
      <rPr>
        <sz val="11"/>
        <rFont val="ＭＳ ゴシック"/>
        <family val="0"/>
        <charset val="1"/>
      </rPr>
      <t xml:space="preserve">23'</t>
    </r>
    <r>
      <rPr>
        <sz val="11"/>
        <rFont val="WenQuanYi Zen Hei"/>
        <family val="2"/>
      </rPr>
      <t xml:space="preserve">日本ダービー</t>
    </r>
    <r>
      <rPr>
        <sz val="11"/>
        <rFont val="ＭＳ ゴシック"/>
        <family val="0"/>
        <charset val="1"/>
      </rPr>
      <t xml:space="preserve">(G1)25'</t>
    </r>
    <r>
      <rPr>
        <sz val="11"/>
        <rFont val="WenQuanYi Zen Hei"/>
        <family val="2"/>
      </rPr>
      <t xml:space="preserve">クイーンエリザベス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世</t>
    </r>
    <r>
      <rPr>
        <sz val="11"/>
        <rFont val="ＭＳ ゴシック"/>
        <family val="0"/>
        <charset val="1"/>
      </rPr>
      <t xml:space="preserve">C(G1)--&gt;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</si>
  <si>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478kg</t>
    </r>
  </si>
  <si>
    <t xml:space="preserve">マルティンスタークの2020</t>
  </si>
  <si>
    <t xml:space="preserve">サヴァリア (Savaria)</t>
  </si>
  <si>
    <r>
      <rPr>
        <sz val="11"/>
        <rFont val="ＭＳ ゴシック"/>
        <family val="0"/>
        <charset val="1"/>
      </rPr>
      <t xml:space="preserve">24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[1-1-3-19]</t>
    </r>
  </si>
  <si>
    <r>
      <rPr>
        <sz val="11"/>
        <rFont val="ＭＳ ゴシック"/>
        <family val="0"/>
        <charset val="1"/>
      </rPr>
      <t xml:space="preserve">C2</t>
    </r>
    <r>
      <rPr>
        <sz val="11"/>
        <rFont val="WenQuanYi Zen Hei"/>
        <family val="2"/>
      </rPr>
      <t xml:space="preserve">二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</si>
  <si>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439kg</t>
    </r>
  </si>
  <si>
    <t xml:space="preserve">ポロンナルワの2020</t>
  </si>
  <si>
    <t xml:space="preserve">ラクサパーナ (Laxapana)</t>
  </si>
  <si>
    <r>
      <rPr>
        <sz val="11"/>
        <rFont val="ＭＳ ゴシック"/>
        <family val="0"/>
        <charset val="1"/>
      </rPr>
      <t xml:space="preserve">16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[1-0-2-13]</t>
    </r>
  </si>
  <si>
    <t xml:space="preserve">ビットレートの2020</t>
  </si>
  <si>
    <t xml:space="preserve">クエイヴァー (Quaver)</t>
  </si>
  <si>
    <r>
      <rPr>
        <sz val="11"/>
        <rFont val="ＭＳ ゴシック"/>
        <family val="0"/>
        <charset val="1"/>
      </rPr>
      <t xml:space="preserve">15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[0-1-2-12]</t>
    </r>
  </si>
  <si>
    <t xml:space="preserve">カイゼリンの2020</t>
  </si>
  <si>
    <t xml:space="preserve">エーリチェ (Erice)</t>
  </si>
  <si>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[4-1-1-5]</t>
    </r>
  </si>
  <si>
    <t xml:space="preserve">楽天競馬×楽天モバイル賞C2四組--&gt;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</si>
  <si>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478kg</t>
    </r>
  </si>
  <si>
    <t xml:space="preserve">ユールフェストの2020</t>
  </si>
  <si>
    <t xml:space="preserve">オルフェスト (Or Fest)</t>
  </si>
  <si>
    <r>
      <rPr>
        <sz val="11"/>
        <rFont val="ＭＳ ゴシック"/>
        <family val="0"/>
        <charset val="1"/>
      </rPr>
      <t xml:space="preserve">16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[2-1-2-11]</t>
    </r>
  </si>
  <si>
    <r>
      <rPr>
        <sz val="11"/>
        <rFont val="WenQuanYi Zen Hei"/>
        <family val="2"/>
      </rPr>
      <t xml:space="preserve">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</t>
    </r>
  </si>
  <si>
    <t xml:space="preserve">レオパルディナの2020</t>
  </si>
  <si>
    <t xml:space="preserve">パンテーラネーラ (Pantera Nera)</t>
  </si>
  <si>
    <r>
      <rPr>
        <sz val="11"/>
        <rFont val="ＭＳ ゴシック"/>
        <family val="0"/>
        <charset val="1"/>
      </rPr>
      <t xml:space="preserve">15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[2-0-1-12]</t>
    </r>
  </si>
  <si>
    <t xml:space="preserve">C2C2--&gt;</t>
  </si>
  <si>
    <r>
      <rPr>
        <sz val="11"/>
        <rFont val="WenQuanYi Zen Hei"/>
        <family val="2"/>
      </rPr>
      <t xml:space="preserve">牡・母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449kg</t>
    </r>
  </si>
  <si>
    <t xml:space="preserve">アールブリュットの2020</t>
  </si>
  <si>
    <t xml:space="preserve">ブラックタイド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</si>
  <si>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435kg</t>
    </r>
  </si>
  <si>
    <t xml:space="preserve">スーブレットの2020</t>
  </si>
  <si>
    <t xml:space="preserve">ラリーレイド (Rally Raid)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</si>
  <si>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462kg</t>
    </r>
  </si>
  <si>
    <t xml:space="preserve">アドヴェントスの2020</t>
  </si>
  <si>
    <t xml:space="preserve">ラトレイア (Latreia)</t>
  </si>
  <si>
    <t xml:space="preserve">該当なし</t>
  </si>
  <si>
    <t xml:space="preserve">フォトコールの2020</t>
  </si>
  <si>
    <t xml:space="preserve">ブレガーロード (Bregagh Road)</t>
  </si>
  <si>
    <t xml:space="preserve">Quality Road</t>
  </si>
  <si>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[2-0-0-7]</t>
    </r>
  </si>
  <si>
    <r>
      <rPr>
        <sz val="11"/>
        <rFont val="ＭＳ ゴシック"/>
        <family val="0"/>
        <charset val="1"/>
      </rPr>
      <t xml:space="preserve">C2</t>
    </r>
    <r>
      <rPr>
        <sz val="11"/>
        <rFont val="WenQuanYi Zen Hei"/>
        <family val="2"/>
      </rPr>
      <t xml:space="preserve">十組</t>
    </r>
    <r>
      <rPr>
        <sz val="11"/>
        <rFont val="ＭＳ ゴシック"/>
        <family val="0"/>
        <charset val="1"/>
      </rPr>
      <t xml:space="preserve">C2</t>
    </r>
    <r>
      <rPr>
        <sz val="11"/>
        <rFont val="WenQuanYi Zen Hei"/>
        <family val="2"/>
      </rPr>
      <t xml:space="preserve">五組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</si>
  <si>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436kg</t>
    </r>
  </si>
  <si>
    <t xml:space="preserve">ウィープノーモアの2020</t>
  </si>
  <si>
    <t xml:space="preserve">キープスマイリング (Keep Smiling)</t>
  </si>
  <si>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[2-1-0-7]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</si>
  <si>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512kg</t>
    </r>
  </si>
  <si>
    <t xml:space="preserve">アヴェンチュラの2020</t>
  </si>
  <si>
    <t xml:space="preserve">トラヴォルジェンテ (Travolgente)</t>
  </si>
  <si>
    <r>
      <rPr>
        <sz val="11"/>
        <rFont val="ＭＳ ゴシック"/>
        <family val="0"/>
        <charset val="1"/>
      </rPr>
      <t xml:space="preserve">54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[1-6-1-46]</t>
    </r>
  </si>
  <si>
    <r>
      <rPr>
        <sz val="11"/>
        <rFont val="ＭＳ ゴシック"/>
        <family val="0"/>
        <charset val="1"/>
      </rPr>
      <t xml:space="preserve">C3</t>
    </r>
    <r>
      <rPr>
        <sz val="11"/>
        <rFont val="WenQuanYi Zen Hei"/>
        <family val="2"/>
      </rPr>
      <t xml:space="preserve">二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</si>
  <si>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489kg</t>
    </r>
  </si>
  <si>
    <t xml:space="preserve">アディクティドの2020</t>
  </si>
  <si>
    <t xml:space="preserve">アルアリング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</si>
  <si>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479kg</t>
    </r>
  </si>
  <si>
    <t xml:space="preserve">フロアクラフトの2020</t>
  </si>
  <si>
    <t xml:space="preserve">ポルカリズム (Polka Rhythm)</t>
  </si>
  <si>
    <r>
      <rPr>
        <sz val="11"/>
        <rFont val="ＭＳ ゴシック"/>
        <family val="0"/>
        <charset val="1"/>
      </rPr>
      <t xml:space="preserve">18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[4-2-1-11]</t>
    </r>
  </si>
  <si>
    <r>
      <rPr>
        <sz val="11"/>
        <rFont val="ＭＳ ゴシック"/>
        <family val="0"/>
        <charset val="1"/>
      </rPr>
      <t xml:space="preserve">26'</t>
    </r>
    <r>
      <rPr>
        <sz val="11"/>
        <rFont val="WenQuanYi Zen Hei"/>
        <family val="2"/>
      </rPr>
      <t xml:space="preserve">若潮</t>
    </r>
    <r>
      <rPr>
        <sz val="11"/>
        <rFont val="ＭＳ ゴシック"/>
        <family val="0"/>
        <charset val="1"/>
      </rPr>
      <t xml:space="preserve">S(3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)24'</t>
    </r>
    <r>
      <rPr>
        <sz val="11"/>
        <rFont val="WenQuanYi Zen Hei"/>
        <family val="2"/>
      </rPr>
      <t xml:space="preserve">御宿特別</t>
    </r>
    <r>
      <rPr>
        <sz val="11"/>
        <rFont val="ＭＳ ゴシック"/>
        <family val="0"/>
        <charset val="1"/>
      </rPr>
      <t xml:space="preserve">(2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)--&gt;</t>
    </r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</si>
  <si>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431kg</t>
    </r>
  </si>
  <si>
    <t xml:space="preserve">ワイの2020</t>
  </si>
  <si>
    <t xml:space="preserve">ロードマンハイム (Lord Mannheim)</t>
  </si>
  <si>
    <r>
      <rPr>
        <sz val="11"/>
        <rFont val="ＭＳ ゴシック"/>
        <family val="0"/>
        <charset val="1"/>
      </rPr>
      <t xml:space="preserve">24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[2-3-1-18]</t>
    </r>
  </si>
  <si>
    <r>
      <rPr>
        <sz val="11"/>
        <rFont val="ＭＳ ゴシック"/>
        <family val="0"/>
        <charset val="1"/>
      </rPr>
      <t xml:space="preserve">24'</t>
    </r>
    <r>
      <rPr>
        <sz val="11"/>
        <rFont val="WenQuanYi Zen Hei"/>
        <family val="2"/>
      </rPr>
      <t xml:space="preserve">合馬特別</t>
    </r>
    <r>
      <rPr>
        <sz val="11"/>
        <rFont val="ＭＳ ゴシック"/>
        <family val="0"/>
        <charset val="1"/>
      </rPr>
      <t xml:space="preserve">(1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)23'3</t>
    </r>
    <r>
      <rPr>
        <sz val="11"/>
        <rFont val="WenQuanYi Zen Hei"/>
        <family val="2"/>
      </rPr>
      <t xml:space="preserve">歳未勝利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</si>
  <si>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価格帯○・</t>
    </r>
    <r>
      <rPr>
        <sz val="11"/>
        <rFont val="ＭＳ ゴシック"/>
        <family val="0"/>
        <charset val="1"/>
      </rPr>
      <t xml:space="preserve">433kg</t>
    </r>
  </si>
  <si>
    <t xml:space="preserve">ホットスウェルの2020</t>
  </si>
  <si>
    <t xml:space="preserve">レイジングウェイブ (Raging Wave)</t>
  </si>
  <si>
    <r>
      <rPr>
        <sz val="11"/>
        <rFont val="ＭＳ ゴシック"/>
        <family val="0"/>
        <charset val="1"/>
      </rPr>
      <t xml:space="preserve">21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[2-1-3-15]</t>
    </r>
  </si>
  <si>
    <r>
      <rPr>
        <sz val="11"/>
        <rFont val="ＭＳ ゴシック"/>
        <family val="0"/>
        <charset val="1"/>
      </rPr>
      <t xml:space="preserve">C21</t>
    </r>
    <r>
      <rPr>
        <sz val="11"/>
        <rFont val="WenQuanYi Zen Hei"/>
        <family val="2"/>
      </rPr>
      <t xml:space="preserve">組</t>
    </r>
    <r>
      <rPr>
        <sz val="11"/>
        <rFont val="ＭＳ ゴシック"/>
        <family val="0"/>
        <charset val="1"/>
      </rPr>
      <t xml:space="preserve">C14</t>
    </r>
    <r>
      <rPr>
        <sz val="11"/>
        <rFont val="WenQuanYi Zen Hei"/>
        <family val="2"/>
      </rPr>
      <t xml:space="preserve">組</t>
    </r>
    <r>
      <rPr>
        <sz val="11"/>
        <rFont val="ＭＳ ゴシック"/>
        <family val="0"/>
        <charset val="1"/>
      </rPr>
      <t xml:space="preserve">--&gt;</t>
    </r>
  </si>
  <si>
    <t xml:space="preserve">ハヴユーゴーンアウェイの2020</t>
  </si>
  <si>
    <t xml:space="preserve">サンジュリオ</t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</si>
  <si>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465kg</t>
    </r>
  </si>
  <si>
    <t xml:space="preserve">インナーレルムの2020</t>
  </si>
  <si>
    <t xml:space="preserve">ハイアーレルム (Higher Realm)</t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</si>
  <si>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464kg</t>
    </r>
  </si>
  <si>
    <t xml:space="preserve">クルミナルの2020</t>
  </si>
  <si>
    <t xml:space="preserve">プレドミナル (Predominar)</t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</si>
  <si>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[0-0-2-1]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</si>
  <si>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439kg</t>
    </r>
  </si>
  <si>
    <t xml:space="preserve">エールデュレーヴの2020</t>
  </si>
  <si>
    <t xml:space="preserve">オクタグラム (Octagram)</t>
  </si>
  <si>
    <r>
      <rPr>
        <sz val="11"/>
        <rFont val="ＭＳ ゴシック"/>
        <family val="0"/>
        <charset val="1"/>
      </rPr>
      <t xml:space="preserve">20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[0-1-1-18]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</si>
  <si>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434kg</t>
    </r>
  </si>
  <si>
    <t xml:space="preserve">レイリオンの2020</t>
  </si>
  <si>
    <t xml:space="preserve">ラレーヌデリス (La Reine des Lys)</t>
  </si>
  <si>
    <r>
      <rPr>
        <sz val="11"/>
        <rFont val="ＭＳ ゴシック"/>
        <family val="0"/>
        <charset val="1"/>
      </rPr>
      <t xml:space="preserve">22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[2-3-4-13]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</si>
  <si>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476kg</t>
    </r>
  </si>
  <si>
    <t xml:space="preserve">トータルヒートの2020</t>
  </si>
  <si>
    <t xml:space="preserve">サーマルソアリング (Thermal Soaring)</t>
  </si>
  <si>
    <r>
      <rPr>
        <sz val="11"/>
        <rFont val="ＭＳ ゴシック"/>
        <family val="0"/>
        <charset val="1"/>
      </rPr>
      <t xml:space="preserve">20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[4-3-1-12]</t>
    </r>
  </si>
  <si>
    <r>
      <rPr>
        <sz val="11"/>
        <rFont val="ＭＳ ゴシック"/>
        <family val="0"/>
        <charset val="1"/>
      </rPr>
      <t xml:space="preserve">23'</t>
    </r>
    <r>
      <rPr>
        <sz val="11"/>
        <rFont val="WenQuanYi Zen Hei"/>
        <family val="2"/>
      </rPr>
      <t xml:space="preserve">トルマリン</t>
    </r>
    <r>
      <rPr>
        <sz val="11"/>
        <rFont val="ＭＳ ゴシック"/>
        <family val="0"/>
        <charset val="1"/>
      </rPr>
      <t xml:space="preserve">S(3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)23'3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</si>
  <si>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469kg</t>
    </r>
  </si>
  <si>
    <t xml:space="preserve">リーチングの2020</t>
  </si>
  <si>
    <t xml:space="preserve">リーチエミネンス (Reach Eminence)</t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</si>
  <si>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</t>
    </r>
  </si>
  <si>
    <t xml:space="preserve">コルコバードの2020</t>
  </si>
  <si>
    <t xml:space="preserve">パンデアスカル (Pao de Acucar)</t>
  </si>
  <si>
    <r>
      <rPr>
        <sz val="11"/>
        <rFont val="ＭＳ ゴシック"/>
        <family val="0"/>
        <charset val="1"/>
      </rPr>
      <t xml:space="preserve">23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[2-1-1-19]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</si>
  <si>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438kg</t>
    </r>
  </si>
  <si>
    <t xml:space="preserve">ディオジェーヌの2020</t>
  </si>
  <si>
    <t xml:space="preserve">ディオファントス (Diophantus)</t>
  </si>
  <si>
    <r>
      <rPr>
        <sz val="11"/>
        <rFont val="ＭＳ ゴシック"/>
        <family val="0"/>
        <charset val="1"/>
      </rPr>
      <t xml:space="preserve">54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[2-5-8-39]</t>
    </r>
  </si>
  <si>
    <r>
      <rPr>
        <sz val="11"/>
        <rFont val="ＭＳ ゴシック"/>
        <family val="0"/>
        <charset val="1"/>
      </rPr>
      <t xml:space="preserve">C2</t>
    </r>
    <r>
      <rPr>
        <sz val="11"/>
        <rFont val="WenQuanYi Zen Hei"/>
        <family val="2"/>
      </rPr>
      <t xml:space="preserve">一</t>
    </r>
    <r>
      <rPr>
        <sz val="11"/>
        <rFont val="ＭＳ ゴシック"/>
        <family val="0"/>
        <charset val="1"/>
      </rPr>
      <t xml:space="preserve">C2</t>
    </r>
    <r>
      <rPr>
        <sz val="11"/>
        <rFont val="WenQuanYi Zen Hei"/>
        <family val="2"/>
      </rPr>
      <t xml:space="preserve">七組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</si>
  <si>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438kg</t>
    </r>
  </si>
  <si>
    <t xml:space="preserve">スペクトロライトの2020</t>
  </si>
  <si>
    <t xml:space="preserve">ユレマー (Ylamaa)</t>
  </si>
  <si>
    <r>
      <rPr>
        <sz val="11"/>
        <rFont val="ＭＳ ゴシック"/>
        <family val="0"/>
        <charset val="1"/>
      </rPr>
      <t xml:space="preserve">67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[1-3-6-57]</t>
    </r>
  </si>
  <si>
    <r>
      <rPr>
        <sz val="11"/>
        <rFont val="ＭＳ ゴシック"/>
        <family val="0"/>
        <charset val="1"/>
      </rPr>
      <t xml:space="preserve">C</t>
    </r>
    <r>
      <rPr>
        <sz val="11"/>
        <rFont val="WenQuanYi Zen Hei"/>
        <family val="2"/>
      </rPr>
      <t xml:space="preserve">級未勝利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</si>
  <si>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467kg</t>
    </r>
  </si>
  <si>
    <t xml:space="preserve">グランデアモーレの2020</t>
  </si>
  <si>
    <t xml:space="preserve">ハートループ (Heart Loop)</t>
  </si>
  <si>
    <r>
      <rPr>
        <sz val="11"/>
        <rFont val="ＭＳ ゴシック"/>
        <family val="0"/>
        <charset val="1"/>
      </rPr>
      <t xml:space="preserve">49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[2-6-4-37]</t>
    </r>
  </si>
  <si>
    <r>
      <rPr>
        <sz val="11"/>
        <rFont val="ＭＳ ゴシック"/>
        <family val="0"/>
        <charset val="1"/>
      </rPr>
      <t xml:space="preserve">23'3</t>
    </r>
    <r>
      <rPr>
        <sz val="11"/>
        <rFont val="WenQuanYi Zen Hei"/>
        <family val="2"/>
      </rPr>
      <t xml:space="preserve">歳新馬</t>
    </r>
    <r>
      <rPr>
        <sz val="11"/>
        <rFont val="ＭＳ ゴシック"/>
        <family val="0"/>
        <charset val="1"/>
      </rPr>
      <t xml:space="preserve">C1--&gt;</t>
    </r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</si>
  <si>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465kg</t>
    </r>
  </si>
  <si>
    <t xml:space="preserve">リリカルホワイトの2020</t>
  </si>
  <si>
    <t xml:space="preserve">クールブロン (Coeur Blanc)</t>
  </si>
  <si>
    <r>
      <rPr>
        <sz val="11"/>
        <rFont val="ＭＳ ゴシック"/>
        <family val="0"/>
        <charset val="1"/>
      </rPr>
      <t xml:space="preserve">28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[3-2-3-20]</t>
    </r>
  </si>
  <si>
    <r>
      <rPr>
        <sz val="11"/>
        <rFont val="ＭＳ ゴシック"/>
        <family val="0"/>
        <charset val="1"/>
      </rPr>
      <t xml:space="preserve">25'</t>
    </r>
    <r>
      <rPr>
        <sz val="11"/>
        <rFont val="WenQuanYi Zen Hei"/>
        <family val="2"/>
      </rPr>
      <t xml:space="preserve">西湖特別</t>
    </r>
    <r>
      <rPr>
        <sz val="11"/>
        <rFont val="ＭＳ ゴシック"/>
        <family val="0"/>
        <charset val="1"/>
      </rPr>
      <t xml:space="preserve">(2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)24'4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</si>
  <si>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牡・価格帯○・</t>
    </r>
    <r>
      <rPr>
        <sz val="11"/>
        <rFont val="ＭＳ ゴシック"/>
        <family val="0"/>
        <charset val="1"/>
      </rPr>
      <t xml:space="preserve">478kg</t>
    </r>
  </si>
  <si>
    <t xml:space="preserve">ラフォルジュルネの2020</t>
  </si>
  <si>
    <t xml:space="preserve">ボーマルシェ (Beaumarchais)</t>
  </si>
  <si>
    <r>
      <rPr>
        <sz val="11"/>
        <rFont val="WenQuanYi Zen Hei"/>
        <family val="2"/>
      </rPr>
      <t xml:space="preserve">牡・価格帯○・</t>
    </r>
    <r>
      <rPr>
        <sz val="11"/>
        <rFont val="ＭＳ ゴシック"/>
        <family val="0"/>
        <charset val="1"/>
      </rPr>
      <t xml:space="preserve">446kg</t>
    </r>
  </si>
  <si>
    <t xml:space="preserve">ディアデラノビアの2020</t>
  </si>
  <si>
    <t xml:space="preserve">メグスタス (Me Gustas)</t>
  </si>
  <si>
    <r>
      <rPr>
        <sz val="11"/>
        <rFont val="ＭＳ ゴシック"/>
        <family val="0"/>
        <charset val="1"/>
      </rPr>
      <t xml:space="preserve">5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[0-0-1-4]</t>
    </r>
  </si>
  <si>
    <t xml:space="preserve">ライジングクロスの2020</t>
  </si>
  <si>
    <t xml:space="preserve">ライジングホープ (Rising Hope)</t>
  </si>
  <si>
    <r>
      <rPr>
        <sz val="11"/>
        <rFont val="ＭＳ ゴシック"/>
        <family val="0"/>
        <charset val="1"/>
      </rPr>
      <t xml:space="preserve">29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[2-5-1-21]</t>
    </r>
  </si>
  <si>
    <r>
      <rPr>
        <sz val="11"/>
        <rFont val="ＭＳ ゴシック"/>
        <family val="0"/>
        <charset val="1"/>
      </rPr>
      <t xml:space="preserve">C1C2</t>
    </r>
    <r>
      <rPr>
        <sz val="11"/>
        <rFont val="WenQuanYi Zen Hei"/>
        <family val="2"/>
      </rPr>
      <t xml:space="preserve">三組</t>
    </r>
    <r>
      <rPr>
        <sz val="11"/>
        <rFont val="ＭＳ ゴシック"/>
        <family val="0"/>
        <charset val="1"/>
      </rPr>
      <t xml:space="preserve">--&gt;</t>
    </r>
  </si>
  <si>
    <t xml:space="preserve">ラカリフォルニーの2020</t>
  </si>
  <si>
    <t xml:space="preserve">モンテコルノ (Monte Corno)</t>
  </si>
  <si>
    <r>
      <rPr>
        <sz val="11"/>
        <rFont val="ＭＳ ゴシック"/>
        <family val="0"/>
        <charset val="1"/>
      </rPr>
      <t xml:space="preserve">55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[2-5-4-44]</t>
    </r>
  </si>
  <si>
    <r>
      <rPr>
        <sz val="11"/>
        <rFont val="ＭＳ ゴシック"/>
        <family val="0"/>
        <charset val="1"/>
      </rPr>
      <t xml:space="preserve">C2</t>
    </r>
    <r>
      <rPr>
        <sz val="11"/>
        <rFont val="WenQuanYi Zen Hei"/>
        <family val="2"/>
      </rPr>
      <t xml:space="preserve">ー</t>
    </r>
    <r>
      <rPr>
        <sz val="11"/>
        <rFont val="ＭＳ ゴシック"/>
        <family val="0"/>
        <charset val="1"/>
      </rPr>
      <t xml:space="preserve">17</t>
    </r>
    <r>
      <rPr>
        <sz val="11"/>
        <rFont val="WenQuanYi Zen Hei"/>
        <family val="2"/>
      </rPr>
      <t xml:space="preserve">組オッズパーク</t>
    </r>
    <r>
      <rPr>
        <sz val="11"/>
        <rFont val="ＭＳ ゴシック"/>
        <family val="0"/>
        <charset val="1"/>
      </rPr>
      <t xml:space="preserve">presents</t>
    </r>
    <r>
      <rPr>
        <sz val="11"/>
        <rFont val="WenQuanYi Zen Hei"/>
        <family val="2"/>
      </rPr>
      <t xml:space="preserve">ホークス杯</t>
    </r>
    <r>
      <rPr>
        <sz val="11"/>
        <rFont val="ＭＳ ゴシック"/>
        <family val="0"/>
        <charset val="1"/>
      </rPr>
      <t xml:space="preserve">--&gt;</t>
    </r>
  </si>
  <si>
    <t xml:space="preserve">サンブルエミューズの2020</t>
  </si>
  <si>
    <t xml:space="preserve">ラヴェル (Ravel)</t>
  </si>
  <si>
    <r>
      <rPr>
        <sz val="11"/>
        <rFont val="ＭＳ ゴシック"/>
        <family val="0"/>
        <charset val="1"/>
      </rPr>
      <t xml:space="preserve">17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[3-1-0-13]</t>
    </r>
  </si>
  <si>
    <r>
      <rPr>
        <sz val="11"/>
        <rFont val="ＭＳ ゴシック"/>
        <family val="0"/>
        <charset val="1"/>
      </rPr>
      <t xml:space="preserve">24'</t>
    </r>
    <r>
      <rPr>
        <sz val="11"/>
        <rFont val="WenQuanYi Zen Hei"/>
        <family val="2"/>
      </rPr>
      <t xml:space="preserve">チャレンジ</t>
    </r>
    <r>
      <rPr>
        <sz val="11"/>
        <rFont val="ＭＳ ゴシック"/>
        <family val="0"/>
        <charset val="1"/>
      </rPr>
      <t xml:space="preserve">C(G3)22'</t>
    </r>
    <r>
      <rPr>
        <sz val="11"/>
        <rFont val="WenQuanYi Zen Hei"/>
        <family val="2"/>
      </rPr>
      <t xml:space="preserve">アルテミス</t>
    </r>
    <r>
      <rPr>
        <sz val="11"/>
        <rFont val="ＭＳ ゴシック"/>
        <family val="0"/>
        <charset val="1"/>
      </rPr>
      <t xml:space="preserve">S(G3)--&gt;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</si>
  <si>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469kg</t>
    </r>
  </si>
  <si>
    <t xml:space="preserve">プラチナブロンドの2020</t>
  </si>
  <si>
    <t xml:space="preserve">ガーランドスタイル (Garland Style)</t>
  </si>
  <si>
    <r>
      <rPr>
        <sz val="11"/>
        <rFont val="ＭＳ ゴシック"/>
        <family val="0"/>
        <charset val="1"/>
      </rPr>
      <t xml:space="preserve">19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[0-1-1-17]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</si>
  <si>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歳・価格帯○</t>
    </r>
  </si>
  <si>
    <t xml:space="preserve">ピースエンブレムの2020</t>
  </si>
  <si>
    <t xml:space="preserve">ブルーペクトライト (Blue Pectolite)</t>
  </si>
  <si>
    <r>
      <rPr>
        <sz val="11"/>
        <rFont val="ＭＳ ゴシック"/>
        <family val="0"/>
        <charset val="1"/>
      </rPr>
      <t xml:space="preserve">26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[2-3-1-20]</t>
    </r>
  </si>
  <si>
    <r>
      <rPr>
        <sz val="11"/>
        <rFont val="ＭＳ ゴシック"/>
        <family val="0"/>
        <charset val="1"/>
      </rPr>
      <t xml:space="preserve">25'4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23'3</t>
    </r>
    <r>
      <rPr>
        <sz val="11"/>
        <rFont val="WenQuanYi Zen Hei"/>
        <family val="2"/>
      </rPr>
      <t xml:space="preserve">歳未勝利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</si>
  <si>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460kg</t>
    </r>
  </si>
  <si>
    <t xml:space="preserve">エレガントマナーの2020</t>
  </si>
  <si>
    <t xml:space="preserve">ラッフィナート (Raffinato)</t>
  </si>
  <si>
    <t xml:space="preserve">アウェイクの2020</t>
  </si>
  <si>
    <t xml:space="preserve">ブライトサイン (Bright Sign)</t>
  </si>
  <si>
    <r>
      <rPr>
        <sz val="11"/>
        <rFont val="ＭＳ ゴシック"/>
        <family val="0"/>
        <charset val="1"/>
      </rPr>
      <t xml:space="preserve">17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[1-0-0-16]</t>
    </r>
  </si>
  <si>
    <r>
      <rPr>
        <sz val="11"/>
        <rFont val="ＭＳ ゴシック"/>
        <family val="0"/>
        <charset val="1"/>
      </rPr>
      <t xml:space="preserve">22'2</t>
    </r>
    <r>
      <rPr>
        <sz val="11"/>
        <rFont val="WenQuanYi Zen Hei"/>
        <family val="2"/>
      </rPr>
      <t xml:space="preserve">歳未勝利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</si>
  <si>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437kg</t>
    </r>
  </si>
  <si>
    <t xml:space="preserve">ローズノーブルの2020</t>
  </si>
  <si>
    <t xml:space="preserve">ミントマーク (Mint Mark)</t>
  </si>
  <si>
    <r>
      <rPr>
        <sz val="11"/>
        <rFont val="ＭＳ ゴシック"/>
        <family val="0"/>
        <charset val="1"/>
      </rPr>
      <t xml:space="preserve">17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[2-4-0-11]</t>
    </r>
  </si>
  <si>
    <r>
      <rPr>
        <sz val="11"/>
        <rFont val="ＭＳ ゴシック"/>
        <family val="0"/>
        <charset val="1"/>
      </rPr>
      <t xml:space="preserve">25'3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23'3</t>
    </r>
    <r>
      <rPr>
        <sz val="11"/>
        <rFont val="WenQuanYi Zen Hei"/>
        <family val="2"/>
      </rPr>
      <t xml:space="preserve">歳未勝利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</si>
  <si>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444kg</t>
    </r>
  </si>
  <si>
    <t xml:space="preserve">ジュモーの2020</t>
  </si>
  <si>
    <t xml:space="preserve">シュタイナー (Steiner)</t>
  </si>
  <si>
    <r>
      <rPr>
        <sz val="11"/>
        <rFont val="ＭＳ ゴシック"/>
        <family val="0"/>
        <charset val="1"/>
      </rPr>
      <t xml:space="preserve">76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[1-6-4-65]</t>
    </r>
  </si>
  <si>
    <t xml:space="preserve">鎖鋳刀サリィデビュー1周年記念--&gt;</t>
  </si>
  <si>
    <t xml:space="preserve">フォルテピアノの2020</t>
  </si>
  <si>
    <t xml:space="preserve">ストリンジェンド (Stringendo)</t>
  </si>
  <si>
    <r>
      <rPr>
        <sz val="11"/>
        <rFont val="ＭＳ ゴシック"/>
        <family val="0"/>
        <charset val="1"/>
      </rPr>
      <t xml:space="preserve">35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[2-9-2-22]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</si>
  <si>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456kg</t>
    </r>
  </si>
  <si>
    <t xml:space="preserve">ピュアブリーゼの2020</t>
  </si>
  <si>
    <t xml:space="preserve">フェアリーピコ (Fairy Pico)</t>
  </si>
  <si>
    <r>
      <rPr>
        <sz val="11"/>
        <rFont val="ＭＳ ゴシック"/>
        <family val="0"/>
        <charset val="1"/>
      </rPr>
      <t xml:space="preserve">33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[1-3-7-22]</t>
    </r>
  </si>
  <si>
    <r>
      <rPr>
        <sz val="11"/>
        <rFont val="ＭＳ ゴシック"/>
        <family val="0"/>
        <charset val="1"/>
      </rPr>
      <t xml:space="preserve">C21</t>
    </r>
    <r>
      <rPr>
        <sz val="11"/>
        <rFont val="WenQuanYi Zen Hei"/>
        <family val="2"/>
      </rPr>
      <t xml:space="preserve">組</t>
    </r>
    <r>
      <rPr>
        <sz val="11"/>
        <rFont val="ＭＳ ゴシック"/>
        <family val="0"/>
        <charset val="1"/>
      </rPr>
      <t xml:space="preserve">--&gt;</t>
    </r>
  </si>
  <si>
    <t xml:space="preserve">グレイシアブルーの2020</t>
  </si>
  <si>
    <t xml:space="preserve">ブリックスダール (Briksdal)</t>
  </si>
  <si>
    <r>
      <rPr>
        <sz val="11"/>
        <rFont val="ＭＳ ゴシック"/>
        <family val="0"/>
        <charset val="1"/>
      </rPr>
      <t xml:space="preserve">54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[0-6-5-43]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</si>
  <si>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432kg</t>
    </r>
  </si>
  <si>
    <t xml:space="preserve">クレオールの2020</t>
  </si>
  <si>
    <t xml:space="preserve">ノヴィアル (Novial)</t>
  </si>
  <si>
    <r>
      <rPr>
        <sz val="11"/>
        <rFont val="ＭＳ ゴシック"/>
        <family val="0"/>
        <charset val="1"/>
      </rPr>
      <t xml:space="preserve">29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[0-1-2-26]</t>
    </r>
  </si>
  <si>
    <t xml:space="preserve">エスティタートの2020</t>
  </si>
  <si>
    <t xml:space="preserve">ヴィヴィッシモ (Vivisimo)</t>
  </si>
  <si>
    <r>
      <rPr>
        <sz val="11"/>
        <rFont val="ＭＳ ゴシック"/>
        <family val="0"/>
        <charset val="1"/>
      </rPr>
      <t xml:space="preserve">18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[1-1-5-11]</t>
    </r>
  </si>
  <si>
    <t xml:space="preserve">ココシュニックの2020</t>
  </si>
  <si>
    <t xml:space="preserve">ハンベルジャイト (Hambergite)</t>
  </si>
  <si>
    <r>
      <rPr>
        <sz val="11"/>
        <rFont val="ＭＳ ゴシック"/>
        <family val="0"/>
        <charset val="1"/>
      </rPr>
      <t xml:space="preserve">24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[3-1-3-17]</t>
    </r>
  </si>
  <si>
    <r>
      <rPr>
        <sz val="11"/>
        <rFont val="ＭＳ ゴシック"/>
        <family val="0"/>
        <charset val="1"/>
      </rPr>
      <t xml:space="preserve">24'</t>
    </r>
    <r>
      <rPr>
        <sz val="11"/>
        <rFont val="WenQuanYi Zen Hei"/>
        <family val="2"/>
      </rPr>
      <t xml:space="preserve">雲仙特別</t>
    </r>
    <r>
      <rPr>
        <sz val="11"/>
        <rFont val="ＭＳ ゴシック"/>
        <family val="0"/>
        <charset val="1"/>
      </rPr>
      <t xml:space="preserve">(2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)23'3</t>
    </r>
    <r>
      <rPr>
        <sz val="11"/>
        <rFont val="WenQuanYi Zen Hei"/>
        <family val="2"/>
      </rPr>
      <t xml:space="preserve">歳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</si>
  <si>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489kg</t>
    </r>
  </si>
  <si>
    <t xml:space="preserve">ピンクアリエスの2020</t>
  </si>
  <si>
    <t xml:space="preserve">ラスハンメル (Ras Hammel)</t>
  </si>
  <si>
    <r>
      <rPr>
        <sz val="11"/>
        <rFont val="ＭＳ ゴシック"/>
        <family val="0"/>
        <charset val="1"/>
      </rPr>
      <t xml:space="preserve">16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[2-1-4-9]</t>
    </r>
  </si>
  <si>
    <r>
      <rPr>
        <sz val="11"/>
        <rFont val="ＭＳ ゴシック"/>
        <family val="0"/>
        <charset val="1"/>
      </rPr>
      <t xml:space="preserve">24'4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22'2</t>
    </r>
    <r>
      <rPr>
        <sz val="11"/>
        <rFont val="WenQuanYi Zen Hei"/>
        <family val="2"/>
      </rPr>
      <t xml:space="preserve">歳未勝利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</si>
  <si>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477kg</t>
    </r>
  </si>
  <si>
    <t xml:space="preserve">ラテアートの2020</t>
  </si>
  <si>
    <t xml:space="preserve">クロスリーフ (Cross Leaf)</t>
  </si>
  <si>
    <r>
      <rPr>
        <sz val="11"/>
        <rFont val="ＭＳ ゴシック"/>
        <family val="0"/>
        <charset val="1"/>
      </rPr>
      <t xml:space="preserve">27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[0-1-2-24]</t>
    </r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</si>
  <si>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444kg</t>
    </r>
  </si>
  <si>
    <t xml:space="preserve">シェルズレイの2020</t>
  </si>
  <si>
    <t xml:space="preserve">レイアネラ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</si>
  <si>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499kg</t>
    </r>
  </si>
  <si>
    <t xml:space="preserve">シャンドランジュの2020</t>
  </si>
  <si>
    <t xml:space="preserve">セラフィックコール (Seraphic Call)</t>
  </si>
  <si>
    <r>
      <rPr>
        <sz val="11"/>
        <rFont val="ＭＳ ゴシック"/>
        <family val="0"/>
        <charset val="1"/>
      </rPr>
      <t xml:space="preserve">18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7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[7-1-0-10]</t>
    </r>
  </si>
  <si>
    <r>
      <rPr>
        <sz val="11"/>
        <rFont val="ＭＳ ゴシック"/>
        <family val="0"/>
        <charset val="1"/>
      </rPr>
      <t xml:space="preserve">24'</t>
    </r>
    <r>
      <rPr>
        <sz val="11"/>
        <rFont val="WenQuanYi Zen Hei"/>
        <family val="2"/>
      </rPr>
      <t xml:space="preserve">ダイオライト記念</t>
    </r>
    <r>
      <rPr>
        <sz val="11"/>
        <rFont val="ＭＳ ゴシック"/>
        <family val="0"/>
        <charset val="1"/>
      </rPr>
      <t xml:space="preserve">(G2)25'</t>
    </r>
    <r>
      <rPr>
        <sz val="11"/>
        <rFont val="WenQuanYi Zen Hei"/>
        <family val="2"/>
      </rPr>
      <t xml:space="preserve">ダイオライト記念</t>
    </r>
    <r>
      <rPr>
        <sz val="11"/>
        <rFont val="ＭＳ ゴシック"/>
        <family val="0"/>
        <charset val="1"/>
      </rPr>
      <t xml:space="preserve">(G2)--&gt;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</si>
  <si>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485kg</t>
    </r>
  </si>
  <si>
    <t xml:space="preserve">ホワイトミーティアの2020</t>
  </si>
  <si>
    <t xml:space="preserve">ウインターズテイル (Winter's Tale)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</si>
  <si>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462kg</t>
    </r>
  </si>
  <si>
    <t xml:space="preserve">リリウムの2020</t>
  </si>
  <si>
    <t xml:space="preserve">メガラニカ (Magallanica)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</si>
  <si>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586kg</t>
    </r>
  </si>
  <si>
    <t xml:space="preserve">グリューヴァインの2020</t>
  </si>
  <si>
    <t xml:space="preserve">シラーヴァイン (Schillerwein)</t>
  </si>
  <si>
    <t xml:space="preserve">カニョットの2020</t>
  </si>
  <si>
    <t xml:space="preserve">パルメリータ (Palmerita)</t>
  </si>
  <si>
    <r>
      <rPr>
        <sz val="11"/>
        <rFont val="ＭＳ ゴシック"/>
        <family val="0"/>
        <charset val="1"/>
      </rPr>
      <t xml:space="preserve">28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[1-1-5-21]</t>
    </r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</si>
  <si>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451kg</t>
    </r>
  </si>
  <si>
    <t xml:space="preserve">シンハリーズの2020</t>
  </si>
  <si>
    <t xml:space="preserve">ジャミーレ (Jamileh)</t>
  </si>
  <si>
    <t xml:space="preserve">戦勝 []</t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</si>
  <si>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437kg</t>
    </r>
  </si>
  <si>
    <t xml:space="preserve">グローバルビューティの2020</t>
  </si>
  <si>
    <t xml:space="preserve">パルクリチュード (Pulchritude)</t>
  </si>
  <si>
    <t xml:space="preserve">Gun Runner</t>
  </si>
  <si>
    <r>
      <rPr>
        <sz val="11"/>
        <rFont val="ＭＳ ゴシック"/>
        <family val="0"/>
        <charset val="1"/>
      </rPr>
      <t xml:space="preserve">21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[3-5-2-11]</t>
    </r>
  </si>
  <si>
    <r>
      <rPr>
        <sz val="11"/>
        <rFont val="ＭＳ ゴシック"/>
        <family val="0"/>
        <charset val="1"/>
      </rPr>
      <t xml:space="preserve">25'</t>
    </r>
    <r>
      <rPr>
        <sz val="11"/>
        <rFont val="WenQuanYi Zen Hei"/>
        <family val="2"/>
      </rPr>
      <t xml:space="preserve">遠州灘特別</t>
    </r>
    <r>
      <rPr>
        <sz val="11"/>
        <rFont val="ＭＳ ゴシック"/>
        <family val="0"/>
        <charset val="1"/>
      </rPr>
      <t xml:space="preserve">(2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)25'4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   </r>
  </si>
  <si>
    <t xml:space="preserve">キャヴァルドレの2020</t>
  </si>
  <si>
    <t xml:space="preserve">プロトポロス (Protoporos)</t>
  </si>
  <si>
    <t xml:space="preserve">War Front</t>
  </si>
  <si>
    <r>
      <rPr>
        <sz val="11"/>
        <rFont val="ＭＳ ゴシック"/>
        <family val="0"/>
        <charset val="1"/>
      </rPr>
      <t xml:space="preserve">15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[4-0-1-10]</t>
    </r>
  </si>
  <si>
    <r>
      <rPr>
        <sz val="11"/>
        <rFont val="ＭＳ ゴシック"/>
        <family val="0"/>
        <charset val="1"/>
      </rPr>
      <t xml:space="preserve">25'</t>
    </r>
    <r>
      <rPr>
        <sz val="11"/>
        <rFont val="WenQuanYi Zen Hei"/>
        <family val="2"/>
      </rPr>
      <t xml:space="preserve">伊賀</t>
    </r>
    <r>
      <rPr>
        <sz val="11"/>
        <rFont val="ＭＳ ゴシック"/>
        <family val="0"/>
        <charset val="1"/>
      </rPr>
      <t xml:space="preserve">S(3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)25'</t>
    </r>
    <r>
      <rPr>
        <sz val="11"/>
        <rFont val="WenQuanYi Zen Hei"/>
        <family val="2"/>
      </rPr>
      <t xml:space="preserve">洲本特別</t>
    </r>
    <r>
      <rPr>
        <sz val="11"/>
        <rFont val="ＭＳ ゴシック"/>
        <family val="0"/>
        <charset val="1"/>
      </rPr>
      <t xml:space="preserve">(2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</si>
  <si>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470kg</t>
    </r>
  </si>
  <si>
    <t xml:space="preserve">ブリトマルティスの2020</t>
  </si>
  <si>
    <t xml:space="preserve">ラビュリントス (Labyrinthos)</t>
  </si>
  <si>
    <r>
      <rPr>
        <sz val="11"/>
        <rFont val="ＭＳ ゴシック"/>
        <family val="0"/>
        <charset val="1"/>
      </rPr>
      <t xml:space="preserve">21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[4-2-1-14]</t>
    </r>
  </si>
  <si>
    <t xml:space="preserve">ジュニアグランプリ(ホークビル賞オパールC--&gt;</t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</si>
  <si>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</t>
    </r>
  </si>
  <si>
    <t xml:space="preserve">ライクザウインドの2020</t>
  </si>
  <si>
    <t xml:space="preserve">エオリエンヌ (Eolienne)</t>
  </si>
  <si>
    <r>
      <rPr>
        <sz val="11"/>
        <rFont val="ＭＳ ゴシック"/>
        <family val="0"/>
        <charset val="1"/>
      </rPr>
      <t xml:space="preserve">15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[3-1-2-9]</t>
    </r>
  </si>
  <si>
    <t xml:space="preserve">天香桂花賞ルドベキア特別--&gt;</t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</si>
  <si>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459kg</t>
    </r>
  </si>
  <si>
    <t xml:space="preserve">ネオフレグランスの2020</t>
  </si>
  <si>
    <t xml:space="preserve">マリンノート (Marine Note)</t>
  </si>
  <si>
    <r>
      <rPr>
        <sz val="11"/>
        <rFont val="ＭＳ ゴシック"/>
        <family val="0"/>
        <charset val="1"/>
      </rPr>
      <t xml:space="preserve">7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[0-0-1-6]</t>
    </r>
  </si>
  <si>
    <t xml:space="preserve">ミリッサの2021</t>
  </si>
  <si>
    <t xml:space="preserve">ハッピージャズ (Happy Jazz)</t>
  </si>
  <si>
    <t xml:space="preserve">ジョプリンの2021</t>
  </si>
  <si>
    <t xml:space="preserve">ジュビランス (Jubilance)</t>
  </si>
  <si>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[1-0-3-5]</t>
    </r>
  </si>
  <si>
    <t xml:space="preserve">独楽回し賞--&gt;</t>
  </si>
  <si>
    <r>
      <rPr>
        <sz val="11"/>
        <rFont val="WenQuanYi Zen Hei"/>
        <family val="2"/>
      </rPr>
      <t xml:space="preserve">価格帯○・</t>
    </r>
    <r>
      <rPr>
        <sz val="11"/>
        <rFont val="ＭＳ ゴシック"/>
        <family val="0"/>
        <charset val="1"/>
      </rPr>
      <t xml:space="preserve">454kg</t>
    </r>
  </si>
  <si>
    <t xml:space="preserve">ヒルダズパッションの2021</t>
  </si>
  <si>
    <t xml:space="preserve">アルドール (Ardor)</t>
  </si>
  <si>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[2-0-0-6]</t>
    </r>
  </si>
  <si>
    <r>
      <rPr>
        <sz val="11"/>
        <rFont val="ＭＳ ゴシック"/>
        <family val="0"/>
        <charset val="1"/>
      </rPr>
      <t xml:space="preserve">25'4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24'3</t>
    </r>
    <r>
      <rPr>
        <sz val="11"/>
        <rFont val="WenQuanYi Zen Hei"/>
        <family val="2"/>
      </rPr>
      <t xml:space="preserve">歳未勝利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</si>
  <si>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485kg</t>
    </r>
  </si>
  <si>
    <t xml:space="preserve">グリューネワルトの2021</t>
  </si>
  <si>
    <t xml:space="preserve">オーデンヴァルト (Odenwald)</t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</si>
  <si>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454kg</t>
    </r>
  </si>
  <si>
    <t xml:space="preserve">インクルードベティの2021</t>
  </si>
  <si>
    <t xml:space="preserve">インクルージョン (Inclusion)</t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</si>
  <si>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[0-1-0-2]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</si>
  <si>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482kg</t>
    </r>
  </si>
  <si>
    <t xml:space="preserve">サンブルエミューズの2021</t>
  </si>
  <si>
    <t xml:space="preserve">アルセナール (Arsenaal)</t>
  </si>
  <si>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[2-1-2-6]</t>
    </r>
  </si>
  <si>
    <r>
      <rPr>
        <sz val="11"/>
        <rFont val="ＭＳ ゴシック"/>
        <family val="0"/>
        <charset val="1"/>
      </rPr>
      <t xml:space="preserve">25'</t>
    </r>
    <r>
      <rPr>
        <sz val="11"/>
        <rFont val="WenQuanYi Zen Hei"/>
        <family val="2"/>
      </rPr>
      <t xml:space="preserve">分倍河原</t>
    </r>
    <r>
      <rPr>
        <sz val="11"/>
        <rFont val="ＭＳ ゴシック"/>
        <family val="0"/>
        <charset val="1"/>
      </rPr>
      <t xml:space="preserve">S(3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)23'2</t>
    </r>
    <r>
      <rPr>
        <sz val="11"/>
        <rFont val="WenQuanYi Zen Hei"/>
        <family val="2"/>
      </rPr>
      <t xml:space="preserve">歳新馬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</si>
  <si>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450kg</t>
    </r>
  </si>
  <si>
    <t xml:space="preserve">シャルールの2021</t>
  </si>
  <si>
    <t xml:space="preserve">カニキュル (Canicule)</t>
  </si>
  <si>
    <r>
      <rPr>
        <sz val="11"/>
        <rFont val="ＭＳ ゴシック"/>
        <family val="0"/>
        <charset val="1"/>
      </rPr>
      <t xml:space="preserve">13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[3-2-3-5]</t>
    </r>
  </si>
  <si>
    <r>
      <rPr>
        <sz val="11"/>
        <rFont val="ＭＳ ゴシック"/>
        <family val="0"/>
        <charset val="1"/>
      </rPr>
      <t xml:space="preserve">25'4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24'</t>
    </r>
    <r>
      <rPr>
        <sz val="11"/>
        <rFont val="WenQuanYi Zen Hei"/>
        <family val="2"/>
      </rPr>
      <t xml:space="preserve">三浦特別</t>
    </r>
    <r>
      <rPr>
        <sz val="11"/>
        <rFont val="ＭＳ ゴシック"/>
        <family val="0"/>
        <charset val="1"/>
      </rPr>
      <t xml:space="preserve">(1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)--&gt;</t>
    </r>
  </si>
  <si>
    <r>
      <rPr>
        <sz val="11"/>
        <rFont val="WenQuanYi Zen Hei"/>
        <family val="2"/>
      </rPr>
      <t xml:space="preserve">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440kg</t>
    </r>
  </si>
  <si>
    <t xml:space="preserve">フィンレイズラッキーチャームの2021</t>
  </si>
  <si>
    <t xml:space="preserve">シックスペンス (Sixpence)</t>
  </si>
  <si>
    <r>
      <rPr>
        <sz val="11"/>
        <rFont val="ＭＳ ゴシック"/>
        <family val="0"/>
        <charset val="1"/>
      </rPr>
      <t xml:space="preserve">13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6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[6-1-0-6]</t>
    </r>
  </si>
  <si>
    <r>
      <rPr>
        <sz val="11"/>
        <rFont val="ＭＳ ゴシック"/>
        <family val="0"/>
        <charset val="1"/>
      </rPr>
      <t xml:space="preserve">26'</t>
    </r>
    <r>
      <rPr>
        <sz val="11"/>
        <rFont val="WenQuanYi Zen Hei"/>
        <family val="2"/>
      </rPr>
      <t xml:space="preserve">安田記念</t>
    </r>
    <r>
      <rPr>
        <sz val="11"/>
        <rFont val="ＭＳ ゴシック"/>
        <family val="0"/>
        <charset val="1"/>
      </rPr>
      <t xml:space="preserve">(G1)24'</t>
    </r>
    <r>
      <rPr>
        <sz val="11"/>
        <rFont val="WenQuanYi Zen Hei"/>
        <family val="2"/>
      </rPr>
      <t xml:space="preserve">毎日王冠</t>
    </r>
    <r>
      <rPr>
        <sz val="11"/>
        <rFont val="ＭＳ ゴシック"/>
        <family val="0"/>
        <charset val="1"/>
      </rPr>
      <t xml:space="preserve">(G2)--&gt;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</si>
  <si>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歳・価格帯○</t>
    </r>
  </si>
  <si>
    <t xml:space="preserve">ザズーの2021</t>
  </si>
  <si>
    <t xml:space="preserve">セルース (Selous)</t>
  </si>
  <si>
    <t xml:space="preserve">ロスヴァイセの2021</t>
  </si>
  <si>
    <t xml:space="preserve">ジークルーネ (Siegrune)</t>
  </si>
  <si>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[1-0-0-7]</t>
    </r>
  </si>
  <si>
    <r>
      <rPr>
        <sz val="11"/>
        <rFont val="ＭＳ ゴシック"/>
        <family val="0"/>
        <charset val="1"/>
      </rPr>
      <t xml:space="preserve">23'2</t>
    </r>
    <r>
      <rPr>
        <sz val="11"/>
        <rFont val="WenQuanYi Zen Hei"/>
        <family val="2"/>
      </rPr>
      <t xml:space="preserve">歳新馬</t>
    </r>
    <r>
      <rPr>
        <sz val="11"/>
        <rFont val="ＭＳ ゴシック"/>
        <family val="0"/>
        <charset val="1"/>
      </rPr>
      <t xml:space="preserve">--&gt;</t>
    </r>
  </si>
  <si>
    <t xml:space="preserve">アールブリュットの2021</t>
  </si>
  <si>
    <t xml:space="preserve">アンフォルメル (Informel)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</si>
  <si>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466kg</t>
    </r>
  </si>
  <si>
    <t xml:space="preserve">フロアクラフトの2021</t>
  </si>
  <si>
    <t xml:space="preserve">クランプダンス (Krump Dance)</t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</si>
  <si>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435kg</t>
    </r>
  </si>
  <si>
    <t xml:space="preserve">マイハッピーフェイスの2021</t>
  </si>
  <si>
    <t xml:space="preserve">ルミナスティ (Luminosity)</t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</si>
  <si>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440kg</t>
    </r>
  </si>
  <si>
    <t xml:space="preserve">ブルーメンブラットの2021</t>
  </si>
  <si>
    <t xml:space="preserve">シュトラウス (Strauss)</t>
  </si>
  <si>
    <r>
      <rPr>
        <sz val="11"/>
        <rFont val="ＭＳ ゴシック"/>
        <family val="0"/>
        <charset val="1"/>
      </rPr>
      <t xml:space="preserve">14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[4-1-2-7]</t>
    </r>
  </si>
  <si>
    <r>
      <rPr>
        <sz val="11"/>
        <rFont val="ＭＳ ゴシック"/>
        <family val="0"/>
        <charset val="1"/>
      </rPr>
      <t xml:space="preserve">23'</t>
    </r>
    <r>
      <rPr>
        <sz val="11"/>
        <rFont val="WenQuanYi Zen Hei"/>
        <family val="2"/>
      </rPr>
      <t xml:space="preserve">東京スポーツ杯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歳</t>
    </r>
    <r>
      <rPr>
        <sz val="11"/>
        <rFont val="ＭＳ ゴシック"/>
        <family val="0"/>
        <charset val="1"/>
      </rPr>
      <t xml:space="preserve">S(G2)25'</t>
    </r>
    <r>
      <rPr>
        <sz val="11"/>
        <rFont val="WenQuanYi Zen Hei"/>
        <family val="2"/>
      </rPr>
      <t xml:space="preserve">白富士</t>
    </r>
    <r>
      <rPr>
        <sz val="11"/>
        <rFont val="ＭＳ ゴシック"/>
        <family val="0"/>
        <charset val="1"/>
      </rPr>
      <t xml:space="preserve">S(L)--&gt;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</si>
  <si>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522kg</t>
    </r>
  </si>
  <si>
    <t xml:space="preserve">リカビトスの2021</t>
  </si>
  <si>
    <t xml:space="preserve">リュケイオン (Lykeion)</t>
  </si>
  <si>
    <r>
      <rPr>
        <sz val="11"/>
        <rFont val="ＭＳ ゴシック"/>
        <family val="0"/>
        <charset val="1"/>
      </rPr>
      <t xml:space="preserve">15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[3-3-2-7]</t>
    </r>
  </si>
  <si>
    <r>
      <rPr>
        <sz val="11"/>
        <rFont val="ＭＳ ゴシック"/>
        <family val="0"/>
        <charset val="1"/>
      </rPr>
      <t xml:space="preserve">B1B1</t>
    </r>
    <r>
      <rPr>
        <sz val="11"/>
        <rFont val="WenQuanYi Zen Hei"/>
        <family val="2"/>
      </rPr>
      <t xml:space="preserve">三組</t>
    </r>
    <r>
      <rPr>
        <sz val="11"/>
        <rFont val="ＭＳ ゴシック"/>
        <family val="0"/>
        <charset val="1"/>
      </rPr>
      <t xml:space="preserve">B2</t>
    </r>
    <r>
      <rPr>
        <sz val="11"/>
        <rFont val="WenQuanYi Zen Hei"/>
        <family val="2"/>
      </rPr>
      <t xml:space="preserve">一組混合</t>
    </r>
    <r>
      <rPr>
        <sz val="11"/>
        <rFont val="ＭＳ ゴシック"/>
        <family val="0"/>
        <charset val="1"/>
      </rPr>
      <t xml:space="preserve">--&gt;</t>
    </r>
  </si>
  <si>
    <t xml:space="preserve">シャイントレイルの2021</t>
  </si>
  <si>
    <t xml:space="preserve">トラジェクトワール (Trajectoire)</t>
  </si>
  <si>
    <r>
      <rPr>
        <sz val="11"/>
        <rFont val="ＭＳ ゴシック"/>
        <family val="0"/>
        <charset val="1"/>
      </rPr>
      <t xml:space="preserve">17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[4-0-4-9]</t>
    </r>
  </si>
  <si>
    <r>
      <rPr>
        <sz val="11"/>
        <rFont val="ＭＳ ゴシック"/>
        <family val="0"/>
        <charset val="1"/>
      </rPr>
      <t xml:space="preserve">23'2</t>
    </r>
    <r>
      <rPr>
        <sz val="11"/>
        <rFont val="WenQuanYi Zen Hei"/>
        <family val="2"/>
      </rPr>
      <t xml:space="preserve">歳未勝利リオ</t>
    </r>
    <r>
      <rPr>
        <sz val="11"/>
        <rFont val="ＭＳ ゴシック"/>
        <family val="0"/>
        <charset val="1"/>
      </rPr>
      <t xml:space="preserve">&amp;</t>
    </r>
    <r>
      <rPr>
        <sz val="11"/>
        <rFont val="WenQuanYi Zen Hei"/>
        <family val="2"/>
      </rPr>
      <t xml:space="preserve">ユンケル結婚おめでとう記念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</si>
  <si>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437kg</t>
    </r>
  </si>
  <si>
    <t xml:space="preserve">ピュアブリーゼの2021</t>
  </si>
  <si>
    <t xml:space="preserve">ヴィントシュティレ (Windstille)</t>
  </si>
  <si>
    <r>
      <rPr>
        <sz val="11"/>
        <rFont val="ＭＳ ゴシック"/>
        <family val="0"/>
        <charset val="1"/>
      </rPr>
      <t xml:space="preserve">22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[1-2-1-18]</t>
    </r>
  </si>
  <si>
    <r>
      <rPr>
        <sz val="11"/>
        <rFont val="ＭＳ ゴシック"/>
        <family val="0"/>
        <charset val="1"/>
      </rPr>
      <t xml:space="preserve">24'3</t>
    </r>
    <r>
      <rPr>
        <sz val="11"/>
        <rFont val="WenQuanYi Zen Hei"/>
        <family val="2"/>
      </rPr>
      <t xml:space="preserve">歳未勝利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</si>
  <si>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480kg</t>
    </r>
  </si>
  <si>
    <t xml:space="preserve">タイムハンドラーの2021</t>
  </si>
  <si>
    <t xml:space="preserve">ヴィータアレグリアの2021</t>
  </si>
  <si>
    <t xml:space="preserve">アグラード (Agrado)</t>
  </si>
  <si>
    <r>
      <rPr>
        <sz val="11"/>
        <rFont val="ＭＳ ゴシック"/>
        <family val="0"/>
        <charset val="1"/>
      </rPr>
      <t xml:space="preserve">13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[2-1-2-8]</t>
    </r>
  </si>
  <si>
    <r>
      <rPr>
        <sz val="11"/>
        <rFont val="ＭＳ ゴシック"/>
        <family val="0"/>
        <charset val="1"/>
      </rPr>
      <t xml:space="preserve">25'4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23'2</t>
    </r>
    <r>
      <rPr>
        <sz val="11"/>
        <rFont val="WenQuanYi Zen Hei"/>
        <family val="2"/>
      </rPr>
      <t xml:space="preserve">歳未勝利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</si>
  <si>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440kg</t>
    </r>
  </si>
  <si>
    <t xml:space="preserve">チアズメッセージの2021</t>
  </si>
  <si>
    <t xml:space="preserve">ブレスワード (Bless Word)</t>
  </si>
  <si>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[3-0-1-7]</t>
    </r>
  </si>
  <si>
    <r>
      <rPr>
        <sz val="11"/>
        <rFont val="ＭＳ ゴシック"/>
        <family val="0"/>
        <charset val="1"/>
      </rPr>
      <t xml:space="preserve">25'4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25'4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   </r>
  </si>
  <si>
    <t xml:space="preserve">スペクトロライトの2021</t>
  </si>
  <si>
    <t xml:space="preserve">イリディセント (Iridescent)</t>
  </si>
  <si>
    <r>
      <rPr>
        <sz val="11"/>
        <rFont val="ＭＳ ゴシック"/>
        <family val="0"/>
        <charset val="1"/>
      </rPr>
      <t xml:space="preserve">23'2</t>
    </r>
    <r>
      <rPr>
        <sz val="11"/>
        <rFont val="WenQuanYi Zen Hei"/>
        <family val="2"/>
      </rPr>
      <t xml:space="preserve">歳未勝利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</si>
  <si>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433kg</t>
    </r>
  </si>
  <si>
    <t xml:space="preserve">アンジュシャルマンの2021</t>
  </si>
  <si>
    <t xml:space="preserve">レシェルドランジュ (L'Echellede l'Ange)</t>
  </si>
  <si>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[2-1-0-8]</t>
    </r>
  </si>
  <si>
    <r>
      <rPr>
        <sz val="11"/>
        <rFont val="ＭＳ ゴシック"/>
        <family val="0"/>
        <charset val="1"/>
      </rPr>
      <t xml:space="preserve">24'3</t>
    </r>
    <r>
      <rPr>
        <sz val="11"/>
        <rFont val="WenQuanYi Zen Hei"/>
        <family val="2"/>
      </rPr>
      <t xml:space="preserve">歳未勝利</t>
    </r>
    <r>
      <rPr>
        <sz val="11"/>
        <rFont val="ＭＳ ゴシック"/>
        <family val="0"/>
        <charset val="1"/>
      </rPr>
      <t xml:space="preserve">C7</t>
    </r>
    <r>
      <rPr>
        <sz val="11"/>
        <rFont val="WenQuanYi Zen Hei"/>
        <family val="2"/>
      </rPr>
      <t xml:space="preserve">組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</si>
  <si>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441kg</t>
    </r>
  </si>
  <si>
    <t xml:space="preserve">エスティタートの2021</t>
  </si>
  <si>
    <t xml:space="preserve">ポンポーソ</t>
  </si>
  <si>
    <t xml:space="preserve">ブリックスアンドモルタル</t>
  </si>
  <si>
    <r>
      <rPr>
        <sz val="11"/>
        <rFont val="WenQuanYi Zen Hei"/>
        <family val="2"/>
      </rPr>
      <t xml:space="preserve">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</t>
    </r>
  </si>
  <si>
    <t xml:space="preserve">パルティトゥーラの2021</t>
  </si>
  <si>
    <t xml:space="preserve">スパルティート (Spartito)</t>
  </si>
  <si>
    <t xml:space="preserve">フレジェールの2021</t>
  </si>
  <si>
    <t xml:space="preserve">モンタンヴェール (Montenvers)</t>
  </si>
  <si>
    <t xml:space="preserve">ケイティーズハートの2021</t>
  </si>
  <si>
    <t xml:space="preserve">イゾラフェリーチェ (Isola Felice)</t>
  </si>
  <si>
    <r>
      <rPr>
        <sz val="11"/>
        <rFont val="ＭＳ ゴシック"/>
        <family val="0"/>
        <charset val="1"/>
      </rPr>
      <t xml:space="preserve">17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[2-3-0-12]</t>
    </r>
  </si>
  <si>
    <r>
      <rPr>
        <sz val="11"/>
        <rFont val="ＭＳ ゴシック"/>
        <family val="0"/>
        <charset val="1"/>
      </rPr>
      <t xml:space="preserve">24'</t>
    </r>
    <r>
      <rPr>
        <sz val="11"/>
        <rFont val="WenQuanYi Zen Hei"/>
        <family val="2"/>
      </rPr>
      <t xml:space="preserve">デイジー賞</t>
    </r>
    <r>
      <rPr>
        <sz val="11"/>
        <rFont val="ＭＳ ゴシック"/>
        <family val="0"/>
        <charset val="1"/>
      </rPr>
      <t xml:space="preserve">(1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)23'2</t>
    </r>
    <r>
      <rPr>
        <sz val="11"/>
        <rFont val="WenQuanYi Zen Hei"/>
        <family val="2"/>
      </rPr>
      <t xml:space="preserve">歳未勝利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</si>
  <si>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455kg</t>
    </r>
  </si>
  <si>
    <t xml:space="preserve">プルメリアスターの2021</t>
  </si>
  <si>
    <t xml:space="preserve">ジオセントリック (Geocentric)</t>
  </si>
  <si>
    <r>
      <rPr>
        <sz val="11"/>
        <rFont val="ＭＳ ゴシック"/>
        <family val="0"/>
        <charset val="1"/>
      </rPr>
      <t xml:space="preserve">7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[2-2-2-1]</t>
    </r>
  </si>
  <si>
    <r>
      <rPr>
        <sz val="11"/>
        <rFont val="ＭＳ ゴシック"/>
        <family val="0"/>
        <charset val="1"/>
      </rPr>
      <t xml:space="preserve">24'3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23'2</t>
    </r>
    <r>
      <rPr>
        <sz val="11"/>
        <rFont val="WenQuanYi Zen Hei"/>
        <family val="2"/>
      </rPr>
      <t xml:space="preserve">歳新馬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</si>
  <si>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441kg</t>
    </r>
  </si>
  <si>
    <t xml:space="preserve">ヒカルアモーレの2021</t>
  </si>
  <si>
    <t xml:space="preserve">グランルフレ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</si>
  <si>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478kg</t>
    </r>
  </si>
  <si>
    <t xml:space="preserve">コケレールの2021</t>
  </si>
  <si>
    <t xml:space="preserve">ヴェラベレッツァ (Vera Bellezza)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</si>
  <si>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467kg</t>
    </r>
  </si>
  <si>
    <t xml:space="preserve">アイヴィベルの2021</t>
  </si>
  <si>
    <t xml:space="preserve">ミダース (Midas)</t>
  </si>
  <si>
    <t xml:space="preserve">レイデオロ</t>
  </si>
  <si>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[2-3-3-2]</t>
    </r>
  </si>
  <si>
    <r>
      <rPr>
        <sz val="11"/>
        <rFont val="ＭＳ ゴシック"/>
        <family val="0"/>
        <charset val="1"/>
      </rPr>
      <t xml:space="preserve">25'3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24'3</t>
    </r>
    <r>
      <rPr>
        <sz val="11"/>
        <rFont val="WenQuanYi Zen Hei"/>
        <family val="2"/>
      </rPr>
      <t xml:space="preserve">歳未勝利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</si>
  <si>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485kg</t>
    </r>
  </si>
  <si>
    <t xml:space="preserve">マリアライトの2021</t>
  </si>
  <si>
    <t xml:space="preserve">マリガーネット (Mali Garnet)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</si>
  <si>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歳・価格帯○</t>
    </r>
  </si>
  <si>
    <t xml:space="preserve">スプリングゲイルの2021</t>
  </si>
  <si>
    <t xml:space="preserve">ヴァンセゾニエ (Vent Saisonnier)</t>
  </si>
  <si>
    <r>
      <rPr>
        <sz val="11"/>
        <rFont val="ＭＳ ゴシック"/>
        <family val="0"/>
        <charset val="1"/>
      </rPr>
      <t xml:space="preserve">18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[2-2-0-14]</t>
    </r>
  </si>
  <si>
    <r>
      <rPr>
        <sz val="11"/>
        <rFont val="ＭＳ ゴシック"/>
        <family val="0"/>
        <charset val="1"/>
      </rPr>
      <t xml:space="preserve">C1</t>
    </r>
    <r>
      <rPr>
        <sz val="11"/>
        <rFont val="WenQuanYi Zen Hei"/>
        <family val="2"/>
      </rPr>
      <t xml:space="preserve">二</t>
    </r>
    <r>
      <rPr>
        <sz val="11"/>
        <rFont val="ＭＳ ゴシック"/>
        <family val="0"/>
        <charset val="1"/>
      </rPr>
      <t xml:space="preserve">C2</t>
    </r>
    <r>
      <rPr>
        <sz val="11"/>
        <rFont val="WenQuanYi Zen Hei"/>
        <family val="2"/>
      </rPr>
      <t xml:space="preserve">一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</si>
  <si>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435kg</t>
    </r>
  </si>
  <si>
    <t xml:space="preserve">ミセスワタナベの2021</t>
  </si>
  <si>
    <t xml:space="preserve">アルシミスト (Alchimiste)</t>
  </si>
  <si>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[1-1-0-9]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</si>
  <si>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456kg</t>
    </r>
  </si>
  <si>
    <t xml:space="preserve">エンプレスティアラの2021</t>
  </si>
  <si>
    <t xml:space="preserve">イクリール (Iklil)</t>
  </si>
  <si>
    <t xml:space="preserve">シュヴァルグラン</t>
  </si>
  <si>
    <r>
      <rPr>
        <sz val="11"/>
        <rFont val="ＭＳ ゴシック"/>
        <family val="0"/>
        <charset val="1"/>
      </rPr>
      <t xml:space="preserve">16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[2-3-1-10]</t>
    </r>
  </si>
  <si>
    <r>
      <rPr>
        <sz val="11"/>
        <rFont val="ＭＳ ゴシック"/>
        <family val="0"/>
        <charset val="1"/>
      </rPr>
      <t xml:space="preserve">25'4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25'4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</si>
  <si>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445kg</t>
    </r>
  </si>
  <si>
    <t xml:space="preserve">ジンジャーパンチの2021</t>
  </si>
  <si>
    <t xml:space="preserve">シトラール (Citral)</t>
  </si>
  <si>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[1-1-1-6]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</si>
  <si>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463kg</t>
    </r>
  </si>
  <si>
    <t xml:space="preserve">トップライナーⅡの2021</t>
  </si>
  <si>
    <t xml:space="preserve">ビートメイカー (Beatmaker)</t>
  </si>
  <si>
    <t xml:space="preserve">アンフィトリテⅡの2021</t>
  </si>
  <si>
    <t xml:space="preserve">トライデントスピア (Trident Spear)</t>
  </si>
  <si>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[1-2-2-3]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</si>
  <si>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492kg</t>
    </r>
  </si>
  <si>
    <t xml:space="preserve">シンギングメリリーの2021</t>
  </si>
  <si>
    <t xml:space="preserve">フォルクスリート (Volkslied)</t>
  </si>
  <si>
    <r>
      <rPr>
        <sz val="11"/>
        <rFont val="ＭＳ ゴシック"/>
        <family val="0"/>
        <charset val="1"/>
      </rPr>
      <t xml:space="preserve">14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[2-2-3-7]</t>
    </r>
  </si>
  <si>
    <r>
      <rPr>
        <sz val="11"/>
        <rFont val="ＭＳ ゴシック"/>
        <family val="0"/>
        <charset val="1"/>
      </rPr>
      <t xml:space="preserve">24'3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24'3</t>
    </r>
    <r>
      <rPr>
        <sz val="11"/>
        <rFont val="WenQuanYi Zen Hei"/>
        <family val="2"/>
      </rPr>
      <t xml:space="preserve">歳未勝利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</si>
  <si>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486kg</t>
    </r>
  </si>
  <si>
    <t xml:space="preserve">シークレットスパイスの2021</t>
  </si>
  <si>
    <t xml:space="preserve">クラッシファイド (Classified)</t>
  </si>
  <si>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[2-2-2-5]</t>
    </r>
  </si>
  <si>
    <r>
      <rPr>
        <sz val="11"/>
        <rFont val="ＭＳ ゴシック"/>
        <family val="0"/>
        <charset val="1"/>
      </rPr>
      <t xml:space="preserve">25'3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23'2</t>
    </r>
    <r>
      <rPr>
        <sz val="11"/>
        <rFont val="WenQuanYi Zen Hei"/>
        <family val="2"/>
      </rPr>
      <t xml:space="preserve">歳新馬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</si>
  <si>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433kg</t>
    </r>
  </si>
  <si>
    <t xml:space="preserve">モアザンセイクリッドの2021</t>
  </si>
  <si>
    <t xml:space="preserve">ディヴァイネスト (Divinest)</t>
  </si>
  <si>
    <t xml:space="preserve">ビットレートの2021</t>
  </si>
  <si>
    <t xml:space="preserve">エクサビット (Exabit)</t>
  </si>
  <si>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[0-5-0-3]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</si>
  <si>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489kg</t>
    </r>
  </si>
  <si>
    <t xml:space="preserve">ウインジュビリーの2021</t>
  </si>
  <si>
    <t xml:space="preserve">コイヌール (Kohinoor)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</si>
  <si>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448kg</t>
    </r>
  </si>
  <si>
    <t xml:space="preserve">コルコバードの2021</t>
  </si>
  <si>
    <t xml:space="preserve">ヘデントール (Redentor)</t>
  </si>
  <si>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6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[6-2-0-3]</t>
    </r>
  </si>
  <si>
    <r>
      <rPr>
        <sz val="11"/>
        <rFont val="ＭＳ ゴシック"/>
        <family val="0"/>
        <charset val="1"/>
      </rPr>
      <t xml:space="preserve">25'</t>
    </r>
    <r>
      <rPr>
        <sz val="11"/>
        <rFont val="WenQuanYi Zen Hei"/>
        <family val="2"/>
      </rPr>
      <t xml:space="preserve">天皇賞</t>
    </r>
    <r>
      <rPr>
        <sz val="11"/>
        <rFont val="ＭＳ 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春</t>
    </r>
    <r>
      <rPr>
        <sz val="11"/>
        <rFont val="ＭＳ ゴシック"/>
        <family val="0"/>
        <charset val="1"/>
      </rPr>
      <t xml:space="preserve">)(G1)25'</t>
    </r>
    <r>
      <rPr>
        <sz val="11"/>
        <rFont val="WenQuanYi Zen Hei"/>
        <family val="2"/>
      </rPr>
      <t xml:space="preserve">ダイヤモンド</t>
    </r>
    <r>
      <rPr>
        <sz val="11"/>
        <rFont val="ＭＳ ゴシック"/>
        <family val="0"/>
        <charset val="1"/>
      </rPr>
      <t xml:space="preserve">S(G3)--&gt;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</si>
  <si>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444kg</t>
    </r>
  </si>
  <si>
    <t xml:space="preserve">ピースエンブレムの2021</t>
  </si>
  <si>
    <t xml:space="preserve">アージェント (Argent)</t>
  </si>
  <si>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[3-0-1-5]</t>
    </r>
  </si>
  <si>
    <r>
      <rPr>
        <sz val="11"/>
        <rFont val="ＭＳ ゴシック"/>
        <family val="0"/>
        <charset val="1"/>
      </rPr>
      <t xml:space="preserve">25'4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C2</t>
    </r>
    <r>
      <rPr>
        <sz val="11"/>
        <rFont val="WenQuanYi Zen Hei"/>
        <family val="2"/>
      </rPr>
      <t xml:space="preserve">十一組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</si>
  <si>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510kg</t>
    </r>
  </si>
  <si>
    <t xml:space="preserve">ティンバレスの2021</t>
  </si>
  <si>
    <t xml:space="preserve">リムショット (Rimshot)</t>
  </si>
  <si>
    <r>
      <rPr>
        <sz val="11"/>
        <rFont val="ＭＳ ゴシック"/>
        <family val="0"/>
        <charset val="1"/>
      </rPr>
      <t xml:space="preserve">25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[3-9-1-12]</t>
    </r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</si>
  <si>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C4</t>
    </r>
    <r>
      <rPr>
        <sz val="11"/>
        <rFont val="WenQuanYi Zen Hei"/>
        <family val="2"/>
      </rPr>
      <t xml:space="preserve">ー</t>
    </r>
    <r>
      <rPr>
        <sz val="11"/>
        <rFont val="ＭＳ ゴシック"/>
        <family val="0"/>
        <charset val="1"/>
      </rPr>
      <t xml:space="preserve">23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C3</t>
    </r>
    <r>
      <rPr>
        <sz val="11"/>
        <rFont val="WenQuanYi Zen Hei"/>
        <family val="2"/>
      </rPr>
      <t xml:space="preserve">ー</t>
    </r>
    <r>
      <rPr>
        <sz val="11"/>
        <rFont val="ＭＳ ゴシック"/>
        <family val="0"/>
        <charset val="1"/>
      </rPr>
      <t xml:space="preserve">2C4</t>
    </r>
    <r>
      <rPr>
        <sz val="11"/>
        <rFont val="WenQuanYi Zen Hei"/>
        <family val="2"/>
      </rPr>
      <t xml:space="preserve">ー</t>
    </r>
    <r>
      <rPr>
        <sz val="11"/>
        <rFont val="ＭＳ ゴシック"/>
        <family val="0"/>
        <charset val="1"/>
      </rPr>
      <t xml:space="preserve">1--&gt;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</si>
  <si>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502kg</t>
    </r>
  </si>
  <si>
    <t xml:space="preserve">バイラオーラの2021</t>
  </si>
  <si>
    <t xml:space="preserve">アシセバイラ (Asi se Baila)</t>
  </si>
  <si>
    <r>
      <rPr>
        <sz val="11"/>
        <rFont val="ＭＳ ゴシック"/>
        <family val="0"/>
        <charset val="1"/>
      </rPr>
      <t xml:space="preserve">25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[1-3-2-19]</t>
    </r>
  </si>
  <si>
    <t xml:space="preserve">ヒルダの2021</t>
  </si>
  <si>
    <t xml:space="preserve">ヴェルトラウム (Weltraum)</t>
  </si>
  <si>
    <t xml:space="preserve">ミッキーロケット</t>
  </si>
  <si>
    <r>
      <rPr>
        <sz val="11"/>
        <rFont val="ＭＳ ゴシック"/>
        <family val="0"/>
        <charset val="1"/>
      </rPr>
      <t xml:space="preserve">25'4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23'2</t>
    </r>
    <r>
      <rPr>
        <sz val="11"/>
        <rFont val="WenQuanYi Zen Hei"/>
        <family val="2"/>
      </rPr>
      <t xml:space="preserve">歳新馬</t>
    </r>
    <r>
      <rPr>
        <sz val="11"/>
        <rFont val="ＭＳ ゴシック"/>
        <family val="0"/>
        <charset val="1"/>
      </rPr>
      <t xml:space="preserve">--&gt;</t>
    </r>
  </si>
  <si>
    <t xml:space="preserve">キャントバイミーラヴの2021</t>
  </si>
  <si>
    <t xml:space="preserve">アンドアイラヴハー (And I Love Her)</t>
  </si>
  <si>
    <t xml:space="preserve">No Nay Never</t>
  </si>
  <si>
    <r>
      <rPr>
        <sz val="11"/>
        <rFont val="ＭＳ ゴシック"/>
        <family val="0"/>
        <charset val="1"/>
      </rPr>
      <t xml:space="preserve">13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[3-5-0-5]</t>
    </r>
  </si>
  <si>
    <r>
      <rPr>
        <sz val="11"/>
        <rFont val="ＭＳ ゴシック"/>
        <family val="0"/>
        <charset val="1"/>
      </rPr>
      <t xml:space="preserve">25'3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25'4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</si>
  <si>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価格帯○・</t>
    </r>
    <r>
      <rPr>
        <sz val="11"/>
        <rFont val="ＭＳ ゴシック"/>
        <family val="0"/>
        <charset val="1"/>
      </rPr>
      <t xml:space="preserve">455kg</t>
    </r>
  </si>
  <si>
    <t xml:space="preserve">リラヴァティの2021</t>
  </si>
  <si>
    <t xml:space="preserve">ワールズエンド (World's End)</t>
  </si>
  <si>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5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[5-4-0-2]</t>
    </r>
  </si>
  <si>
    <r>
      <rPr>
        <sz val="11"/>
        <rFont val="ＭＳ ゴシック"/>
        <family val="0"/>
        <charset val="1"/>
      </rPr>
      <t xml:space="preserve">26'</t>
    </r>
    <r>
      <rPr>
        <sz val="11"/>
        <rFont val="WenQuanYi Zen Hei"/>
        <family val="2"/>
      </rPr>
      <t xml:space="preserve">京王杯スプリング</t>
    </r>
    <r>
      <rPr>
        <sz val="11"/>
        <rFont val="ＭＳ ゴシック"/>
        <family val="0"/>
        <charset val="1"/>
      </rPr>
      <t xml:space="preserve">C(G2)25'</t>
    </r>
    <r>
      <rPr>
        <sz val="11"/>
        <rFont val="WenQuanYi Zen Hei"/>
        <family val="2"/>
      </rPr>
      <t xml:space="preserve">新潟日報賞</t>
    </r>
    <r>
      <rPr>
        <sz val="11"/>
        <rFont val="ＭＳ ゴシック"/>
        <family val="0"/>
        <charset val="1"/>
      </rPr>
      <t xml:space="preserve">(3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)--&gt;</t>
    </r>
  </si>
  <si>
    <t xml:space="preserve">エリティエールの2021</t>
  </si>
  <si>
    <t xml:space="preserve">フルリール (Fleurir)</t>
  </si>
  <si>
    <r>
      <rPr>
        <sz val="11"/>
        <rFont val="ＭＳ ゴシック"/>
        <family val="0"/>
        <charset val="1"/>
      </rPr>
      <t xml:space="preserve">25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[2-2-5-16]</t>
    </r>
  </si>
  <si>
    <r>
      <rPr>
        <sz val="11"/>
        <rFont val="ＭＳ ゴシック"/>
        <family val="0"/>
        <charset val="1"/>
      </rPr>
      <t xml:space="preserve">C2</t>
    </r>
    <r>
      <rPr>
        <sz val="11"/>
        <rFont val="WenQuanYi Zen Hei"/>
        <family val="2"/>
      </rPr>
      <t xml:space="preserve">二</t>
    </r>
    <r>
      <rPr>
        <sz val="11"/>
        <rFont val="ＭＳ ゴシック"/>
        <family val="0"/>
        <charset val="1"/>
      </rPr>
      <t xml:space="preserve">C1</t>
    </r>
    <r>
      <rPr>
        <sz val="11"/>
        <rFont val="WenQuanYi Zen Hei"/>
        <family val="2"/>
      </rPr>
      <t xml:space="preserve">二</t>
    </r>
    <r>
      <rPr>
        <sz val="11"/>
        <rFont val="ＭＳ ゴシック"/>
        <family val="0"/>
        <charset val="1"/>
      </rPr>
      <t xml:space="preserve">--&gt;</t>
    </r>
  </si>
  <si>
    <t xml:space="preserve">バウンスシャッセの2021</t>
  </si>
  <si>
    <t xml:space="preserve">リルト (Lilt)</t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</si>
  <si>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453kg</t>
    </r>
  </si>
  <si>
    <t xml:space="preserve">トータルヒートの2021</t>
  </si>
  <si>
    <t xml:space="preserve">ファーヴェント (Fervent)</t>
  </si>
  <si>
    <r>
      <rPr>
        <sz val="11"/>
        <rFont val="ＭＳ ゴシック"/>
        <family val="0"/>
        <charset val="1"/>
      </rPr>
      <t xml:space="preserve">17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[4-3-2-8]</t>
    </r>
  </si>
  <si>
    <r>
      <rPr>
        <sz val="11"/>
        <rFont val="ＭＳ ゴシック"/>
        <family val="0"/>
        <charset val="1"/>
      </rPr>
      <t xml:space="preserve">25'</t>
    </r>
    <r>
      <rPr>
        <sz val="11"/>
        <rFont val="WenQuanYi Zen Hei"/>
        <family val="2"/>
      </rPr>
      <t xml:space="preserve">長岡</t>
    </r>
    <r>
      <rPr>
        <sz val="11"/>
        <rFont val="ＭＳ ゴシック"/>
        <family val="0"/>
        <charset val="1"/>
      </rPr>
      <t xml:space="preserve">S(3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)25'4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</si>
  <si>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475kg</t>
    </r>
  </si>
  <si>
    <t xml:space="preserve">リリサイドの2021</t>
  </si>
  <si>
    <t xml:space="preserve">エボルヴィング (Evolving)</t>
  </si>
  <si>
    <r>
      <rPr>
        <sz val="11"/>
        <rFont val="ＭＳ ゴシック"/>
        <family val="0"/>
        <charset val="1"/>
      </rPr>
      <t xml:space="preserve">14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[2-2-2-8]</t>
    </r>
  </si>
  <si>
    <r>
      <rPr>
        <sz val="11"/>
        <rFont val="ＭＳ ゴシック"/>
        <family val="0"/>
        <charset val="1"/>
      </rPr>
      <t xml:space="preserve">26'4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24'3</t>
    </r>
    <r>
      <rPr>
        <sz val="11"/>
        <rFont val="WenQuanYi Zen Hei"/>
        <family val="2"/>
      </rPr>
      <t xml:space="preserve">歳未勝利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</si>
  <si>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442kg</t>
    </r>
  </si>
  <si>
    <t xml:space="preserve">アルアリングスターの2021</t>
  </si>
  <si>
    <t xml:space="preserve">ルシフェル (Lucifer)</t>
  </si>
  <si>
    <r>
      <rPr>
        <sz val="11"/>
        <rFont val="ＭＳ ゴシック"/>
        <family val="0"/>
        <charset val="1"/>
      </rPr>
      <t xml:space="preserve">14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[2-2-1-9]</t>
    </r>
  </si>
  <si>
    <r>
      <rPr>
        <sz val="11"/>
        <rFont val="ＭＳ ゴシック"/>
        <family val="0"/>
        <charset val="1"/>
      </rPr>
      <t xml:space="preserve">23'</t>
    </r>
    <r>
      <rPr>
        <sz val="11"/>
        <rFont val="WenQuanYi Zen Hei"/>
        <family val="2"/>
      </rPr>
      <t xml:space="preserve">萩</t>
    </r>
    <r>
      <rPr>
        <sz val="11"/>
        <rFont val="ＭＳ ゴシック"/>
        <family val="0"/>
        <charset val="1"/>
      </rPr>
      <t xml:space="preserve">S(L)23'2</t>
    </r>
    <r>
      <rPr>
        <sz val="11"/>
        <rFont val="WenQuanYi Zen Hei"/>
        <family val="2"/>
      </rPr>
      <t xml:space="preserve">歳未勝利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</si>
  <si>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453kg</t>
    </r>
  </si>
  <si>
    <t xml:space="preserve">サトノオニキスの2021</t>
  </si>
  <si>
    <t xml:space="preserve">ブラックルチル (Black Rutile)</t>
  </si>
  <si>
    <r>
      <rPr>
        <sz val="11"/>
        <rFont val="ＭＳ ゴシック"/>
        <family val="0"/>
        <charset val="1"/>
      </rPr>
      <t xml:space="preserve">6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[0-2-0-4]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</si>
  <si>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442kg</t>
    </r>
  </si>
  <si>
    <t xml:space="preserve">レーヴドゥラメールの2021</t>
  </si>
  <si>
    <t xml:space="preserve">レアリゼアンレーヴ (Realiser un Reve)</t>
  </si>
  <si>
    <t xml:space="preserve">シンハリーズの2021</t>
  </si>
  <si>
    <t xml:space="preserve">ナインストーンズ (Nine Stones)</t>
  </si>
  <si>
    <r>
      <rPr>
        <sz val="11"/>
        <rFont val="ＭＳ ゴシック"/>
        <family val="0"/>
        <charset val="1"/>
      </rPr>
      <t xml:space="preserve">7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[0-1-2-4]</t>
    </r>
  </si>
  <si>
    <t xml:space="preserve">マンビアの2021</t>
  </si>
  <si>
    <t xml:space="preserve">レザンクレール (Raisins Clairs)</t>
  </si>
  <si>
    <r>
      <rPr>
        <sz val="11"/>
        <rFont val="ＭＳ ゴシック"/>
        <family val="0"/>
        <charset val="1"/>
      </rPr>
      <t xml:space="preserve">12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[1-0-0-11]</t>
    </r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</si>
  <si>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</t>
    </r>
  </si>
  <si>
    <t xml:space="preserve">アディクティドの2021</t>
  </si>
  <si>
    <t xml:space="preserve">アッファシナンテ (Affascinante)</t>
  </si>
  <si>
    <t xml:space="preserve">ディーパワンサの2021</t>
  </si>
  <si>
    <t xml:space="preserve">マハーワンサ</t>
  </si>
  <si>
    <t xml:space="preserve">ビートリックスキッドの2021</t>
  </si>
  <si>
    <t xml:space="preserve">ザブライド (The Bride)</t>
  </si>
  <si>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[2-0-0-9]</t>
    </r>
  </si>
  <si>
    <r>
      <rPr>
        <sz val="11"/>
        <rFont val="WenQuanYi Zen Hei"/>
        <family val="2"/>
      </rPr>
      <t xml:space="preserve">価格帯○・</t>
    </r>
    <r>
      <rPr>
        <sz val="11"/>
        <rFont val="ＭＳ ゴシック"/>
        <family val="0"/>
        <charset val="1"/>
      </rPr>
      <t xml:space="preserve">453kg</t>
    </r>
  </si>
  <si>
    <t xml:space="preserve">ココシュニックの2021</t>
  </si>
  <si>
    <t xml:space="preserve">フェロニエール (Ferronniere)</t>
  </si>
  <si>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[1-2-1-4]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</si>
  <si>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487kg</t>
    </r>
  </si>
  <si>
    <t xml:space="preserve">アドマイヤローザの2021</t>
  </si>
  <si>
    <t xml:space="preserve">グレッソネイ (Gressoney)</t>
  </si>
  <si>
    <r>
      <rPr>
        <sz val="11"/>
        <rFont val="ＭＳ ゴシック"/>
        <family val="0"/>
        <charset val="1"/>
      </rPr>
      <t xml:space="preserve">13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[1-0-3-9]</t>
    </r>
  </si>
  <si>
    <t xml:space="preserve">風神賞--&gt;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</si>
  <si>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486kg</t>
    </r>
  </si>
  <si>
    <t xml:space="preserve">リスグラシューの2021</t>
  </si>
  <si>
    <t xml:space="preserve">シュヴェルトリリエ (Schwertlilie)</t>
  </si>
  <si>
    <r>
      <rPr>
        <sz val="11"/>
        <rFont val="ＭＳ ゴシック"/>
        <family val="0"/>
        <charset val="1"/>
      </rPr>
      <t xml:space="preserve">6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[0-1-1-4]</t>
    </r>
  </si>
  <si>
    <t xml:space="preserve">ディアデラマドレの2021</t>
  </si>
  <si>
    <t xml:space="preserve">ログラール (Lograr)</t>
  </si>
  <si>
    <r>
      <rPr>
        <sz val="11"/>
        <rFont val="ＭＳ ゴシック"/>
        <family val="0"/>
        <charset val="1"/>
      </rPr>
      <t xml:space="preserve">16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[3-0-3-10]</t>
    </r>
  </si>
  <si>
    <r>
      <rPr>
        <sz val="11"/>
        <rFont val="ＭＳ ゴシック"/>
        <family val="0"/>
        <charset val="1"/>
      </rPr>
      <t xml:space="preserve">26'4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24'3</t>
    </r>
    <r>
      <rPr>
        <sz val="11"/>
        <rFont val="WenQuanYi Zen Hei"/>
        <family val="2"/>
      </rPr>
      <t xml:space="preserve">歳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</si>
  <si>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470kg</t>
    </r>
  </si>
  <si>
    <t xml:space="preserve">ペルレンケッテの2021</t>
  </si>
  <si>
    <t xml:space="preserve">ミルテンベルク (Miltenberg)</t>
  </si>
  <si>
    <r>
      <rPr>
        <sz val="11"/>
        <rFont val="ＭＳ ゴシック"/>
        <family val="0"/>
        <charset val="1"/>
      </rPr>
      <t xml:space="preserve">24'</t>
    </r>
    <r>
      <rPr>
        <sz val="11"/>
        <rFont val="WenQuanYi Zen Hei"/>
        <family val="2"/>
      </rPr>
      <t xml:space="preserve">九州スポーツ杯</t>
    </r>
    <r>
      <rPr>
        <sz val="11"/>
        <rFont val="ＭＳ ゴシック"/>
        <family val="0"/>
        <charset val="1"/>
      </rPr>
      <t xml:space="preserve">(2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)23'2</t>
    </r>
    <r>
      <rPr>
        <sz val="11"/>
        <rFont val="WenQuanYi Zen Hei"/>
        <family val="2"/>
      </rPr>
      <t xml:space="preserve">歳新馬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</si>
  <si>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450kg</t>
    </r>
  </si>
  <si>
    <t xml:space="preserve">レネットグルーヴの2021</t>
  </si>
  <si>
    <t xml:space="preserve">トルタディメーレ (Torta di Mele)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</si>
  <si>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478kg</t>
    </r>
  </si>
  <si>
    <t xml:space="preserve">マルティンスタークの2021</t>
  </si>
  <si>
    <t xml:space="preserve">ローゼンモンターク (Rosenmontag)</t>
  </si>
  <si>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5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[5-0-0-5]</t>
    </r>
  </si>
  <si>
    <r>
      <rPr>
        <sz val="11"/>
        <rFont val="ＭＳ ゴシック"/>
        <family val="0"/>
        <charset val="1"/>
      </rPr>
      <t xml:space="preserve">C1</t>
    </r>
    <r>
      <rPr>
        <sz val="11"/>
        <rFont val="WenQuanYi Zen Hei"/>
        <family val="2"/>
      </rPr>
      <t xml:space="preserve">三組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歳</t>
    </r>
    <r>
      <rPr>
        <sz val="11"/>
        <rFont val="ＭＳ ゴシック"/>
        <family val="0"/>
        <charset val="1"/>
      </rPr>
      <t xml:space="preserve">C2</t>
    </r>
    <r>
      <rPr>
        <sz val="11"/>
        <rFont val="WenQuanYi Zen Hei"/>
        <family val="2"/>
      </rPr>
      <t xml:space="preserve">三組</t>
    </r>
    <r>
      <rPr>
        <sz val="11"/>
        <rFont val="ＭＳ ゴシック"/>
        <family val="0"/>
        <charset val="1"/>
      </rPr>
      <t xml:space="preserve">--&gt;</t>
    </r>
  </si>
  <si>
    <t xml:space="preserve">グリューヴァインの2021</t>
  </si>
  <si>
    <t xml:space="preserve">リューデスハイム (Rudesheim)</t>
  </si>
  <si>
    <r>
      <rPr>
        <sz val="11"/>
        <rFont val="ＭＳ ゴシック"/>
        <family val="0"/>
        <charset val="1"/>
      </rPr>
      <t xml:space="preserve">17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[3-5-0-9]</t>
    </r>
  </si>
  <si>
    <r>
      <rPr>
        <sz val="11"/>
        <rFont val="ＭＳ ゴシック"/>
        <family val="0"/>
        <charset val="1"/>
      </rPr>
      <t xml:space="preserve">24'3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24'3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</si>
  <si>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468kg</t>
    </r>
  </si>
  <si>
    <t xml:space="preserve">クルークハイトの2021</t>
  </si>
  <si>
    <t xml:space="preserve">ルフトクス (Luftkuss)</t>
  </si>
  <si>
    <r>
      <rPr>
        <sz val="11"/>
        <rFont val="ＭＳ ゴシック"/>
        <family val="0"/>
        <charset val="1"/>
      </rPr>
      <t xml:space="preserve">14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[3-3-1-7]</t>
    </r>
  </si>
  <si>
    <r>
      <rPr>
        <sz val="11"/>
        <rFont val="ＭＳ ゴシック"/>
        <family val="0"/>
        <charset val="1"/>
      </rPr>
      <t xml:space="preserve">25'</t>
    </r>
    <r>
      <rPr>
        <sz val="11"/>
        <rFont val="WenQuanYi Zen Hei"/>
        <family val="2"/>
      </rPr>
      <t xml:space="preserve">八女特別</t>
    </r>
    <r>
      <rPr>
        <sz val="11"/>
        <rFont val="ＭＳ ゴシック"/>
        <family val="0"/>
        <charset val="1"/>
      </rPr>
      <t xml:space="preserve">(2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)25'4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   </r>
  </si>
  <si>
    <t xml:space="preserve">オーマイベイビーの2021</t>
  </si>
  <si>
    <t xml:space="preserve">ヴィスマール (Wismar)</t>
  </si>
  <si>
    <r>
      <rPr>
        <sz val="11"/>
        <rFont val="ＭＳ ゴシック"/>
        <family val="0"/>
        <charset val="1"/>
      </rPr>
      <t xml:space="preserve">19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[3-6-1-9]</t>
    </r>
  </si>
  <si>
    <r>
      <rPr>
        <sz val="11"/>
        <rFont val="ＭＳ ゴシック"/>
        <family val="0"/>
        <charset val="1"/>
      </rPr>
      <t xml:space="preserve">26'</t>
    </r>
    <r>
      <rPr>
        <sz val="11"/>
        <rFont val="WenQuanYi Zen Hei"/>
        <family val="2"/>
      </rPr>
      <t xml:space="preserve">鴨川特別</t>
    </r>
    <r>
      <rPr>
        <sz val="11"/>
        <rFont val="ＭＳ ゴシック"/>
        <family val="0"/>
        <charset val="1"/>
      </rPr>
      <t xml:space="preserve">(2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)25'4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</si>
  <si>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436kg</t>
    </r>
  </si>
  <si>
    <t xml:space="preserve">ラプソディーアの2021</t>
  </si>
  <si>
    <t xml:space="preserve">フルラーナ (Furlana)</t>
  </si>
  <si>
    <r>
      <rPr>
        <sz val="11"/>
        <rFont val="ＭＳ ゴシック"/>
        <family val="0"/>
        <charset val="1"/>
      </rPr>
      <t xml:space="preserve">35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[1-1-1-32]</t>
    </r>
  </si>
  <si>
    <t xml:space="preserve">カサオク・サンクス賞--&gt;</t>
  </si>
  <si>
    <t xml:space="preserve">アロマドゥルセの2021</t>
  </si>
  <si>
    <t xml:space="preserve">ガルバナム (Galbanum)</t>
  </si>
  <si>
    <r>
      <rPr>
        <sz val="11"/>
        <rFont val="ＭＳ ゴシック"/>
        <family val="0"/>
        <charset val="1"/>
      </rPr>
      <t xml:space="preserve">38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[2-8-6-22]</t>
    </r>
  </si>
  <si>
    <r>
      <rPr>
        <sz val="11"/>
        <rFont val="ＭＳ ゴシック"/>
        <family val="0"/>
        <charset val="1"/>
      </rPr>
      <t xml:space="preserve">C2</t>
    </r>
    <r>
      <rPr>
        <sz val="11"/>
        <rFont val="WenQuanYi Zen Hei"/>
        <family val="2"/>
      </rPr>
      <t xml:space="preserve">一</t>
    </r>
    <r>
      <rPr>
        <sz val="11"/>
        <rFont val="ＭＳ ゴシック"/>
        <family val="0"/>
        <charset val="1"/>
      </rPr>
      <t xml:space="preserve">C3</t>
    </r>
    <r>
      <rPr>
        <sz val="11"/>
        <rFont val="WenQuanYi Zen Hei"/>
        <family val="2"/>
      </rPr>
      <t xml:space="preserve">三</t>
    </r>
    <r>
      <rPr>
        <sz val="11"/>
        <rFont val="ＭＳ ゴシック"/>
        <family val="0"/>
        <charset val="1"/>
      </rPr>
      <t xml:space="preserve">--&gt;</t>
    </r>
  </si>
  <si>
    <t xml:space="preserve">レイリオンの2021</t>
  </si>
  <si>
    <t xml:space="preserve">ピュアスマイル (Pure Smile)</t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</si>
  <si>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438kg</t>
    </r>
  </si>
  <si>
    <t xml:space="preserve">ヴィートマルシェの2021</t>
  </si>
  <si>
    <t xml:space="preserve">マルチャレアル (Marcha Real)</t>
  </si>
  <si>
    <r>
      <rPr>
        <sz val="11"/>
        <rFont val="ＭＳ ゴシック"/>
        <family val="0"/>
        <charset val="1"/>
      </rPr>
      <t xml:space="preserve">9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[3-1-1-4]</t>
    </r>
  </si>
  <si>
    <r>
      <rPr>
        <sz val="11"/>
        <rFont val="ＭＳ ゴシック"/>
        <family val="0"/>
        <charset val="1"/>
      </rPr>
      <t xml:space="preserve">24'3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24'3</t>
    </r>
    <r>
      <rPr>
        <sz val="11"/>
        <rFont val="WenQuanYi Zen Hei"/>
        <family val="2"/>
      </rPr>
      <t xml:space="preserve">歳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</si>
  <si>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469kg</t>
    </r>
  </si>
  <si>
    <t xml:space="preserve">リッチダンサーの2021</t>
  </si>
  <si>
    <t xml:space="preserve">ウィンターガーデン (Winter Garden)</t>
  </si>
  <si>
    <r>
      <rPr>
        <sz val="11"/>
        <rFont val="ＭＳ ゴシック"/>
        <family val="0"/>
        <charset val="1"/>
      </rPr>
      <t xml:space="preserve">24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[1-1-6-16]</t>
    </r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</si>
  <si>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434kg</t>
    </r>
  </si>
  <si>
    <t xml:space="preserve">ヒストリックスターの2021</t>
  </si>
  <si>
    <t xml:space="preserve">コルレオニス (Cor Leonis)</t>
  </si>
  <si>
    <r>
      <rPr>
        <sz val="11"/>
        <rFont val="ＭＳ ゴシック"/>
        <family val="0"/>
        <charset val="1"/>
      </rPr>
      <t xml:space="preserve">15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[3-2-2-8]</t>
    </r>
  </si>
  <si>
    <r>
      <rPr>
        <sz val="11"/>
        <rFont val="ＭＳ ゴシック"/>
        <family val="0"/>
        <charset val="1"/>
      </rPr>
      <t xml:space="preserve">25'</t>
    </r>
    <r>
      <rPr>
        <sz val="11"/>
        <rFont val="WenQuanYi Zen Hei"/>
        <family val="2"/>
      </rPr>
      <t xml:space="preserve">調布特別</t>
    </r>
    <r>
      <rPr>
        <sz val="11"/>
        <rFont val="ＭＳ ゴシック"/>
        <family val="0"/>
        <charset val="1"/>
      </rPr>
      <t xml:space="preserve">(2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)25'4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</si>
  <si>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461kg</t>
    </r>
  </si>
  <si>
    <t xml:space="preserve">ギーニョの2021</t>
  </si>
  <si>
    <t xml:space="preserve">エルサビオ (El Sabio)</t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</si>
  <si>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[1-0-2-1]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</si>
  <si>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443kg</t>
    </r>
  </si>
  <si>
    <t xml:space="preserve">ライジングクロスの2021</t>
  </si>
  <si>
    <t xml:space="preserve">フェアアイル (Fair Isle)</t>
  </si>
  <si>
    <r>
      <rPr>
        <sz val="11"/>
        <rFont val="ＭＳ ゴシック"/>
        <family val="0"/>
        <charset val="1"/>
      </rPr>
      <t xml:space="preserve">7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[0-2-0-5]</t>
    </r>
  </si>
  <si>
    <t xml:space="preserve">カイカヨソウの2021</t>
  </si>
  <si>
    <t xml:space="preserve">フルレゾン (Fleuraison)</t>
  </si>
  <si>
    <r>
      <rPr>
        <sz val="11"/>
        <rFont val="ＭＳ ゴシック"/>
        <family val="0"/>
        <charset val="1"/>
      </rPr>
      <t xml:space="preserve">18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[2-3-2-11]</t>
    </r>
  </si>
  <si>
    <r>
      <rPr>
        <sz val="11"/>
        <rFont val="ＭＳ ゴシック"/>
        <family val="0"/>
        <charset val="1"/>
      </rPr>
      <t xml:space="preserve">25'3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23'2</t>
    </r>
    <r>
      <rPr>
        <sz val="11"/>
        <rFont val="WenQuanYi Zen Hei"/>
        <family val="2"/>
      </rPr>
      <t xml:space="preserve">歳未勝利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</si>
  <si>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11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449kg</t>
    </r>
  </si>
  <si>
    <t xml:space="preserve">クイックリトルミスの2021</t>
  </si>
  <si>
    <t xml:space="preserve">ライジングアロー (Rising Arrow)</t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</si>
  <si>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461kg</t>
    </r>
  </si>
  <si>
    <t xml:space="preserve">アピールⅡの2021</t>
  </si>
  <si>
    <t xml:space="preserve">レトリカル (Rhetorical)</t>
  </si>
  <si>
    <t xml:space="preserve">ハーレクイーンの2021</t>
  </si>
  <si>
    <t xml:space="preserve">レドンホール (Leadenhall)</t>
  </si>
  <si>
    <r>
      <rPr>
        <sz val="11"/>
        <rFont val="ＭＳ ゴシック"/>
        <family val="0"/>
        <charset val="1"/>
      </rPr>
      <t xml:space="preserve">40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[1-4-3-32]</t>
    </r>
  </si>
  <si>
    <r>
      <rPr>
        <sz val="11"/>
        <rFont val="ＭＳ ゴシック"/>
        <family val="0"/>
        <charset val="1"/>
      </rPr>
      <t xml:space="preserve">C12</t>
    </r>
    <r>
      <rPr>
        <sz val="11"/>
        <rFont val="WenQuanYi Zen Hei"/>
        <family val="2"/>
      </rPr>
      <t xml:space="preserve">組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</si>
  <si>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歳・価格帯○・</t>
    </r>
    <r>
      <rPr>
        <sz val="11"/>
        <rFont val="ＭＳ ゴシック"/>
        <family val="0"/>
        <charset val="1"/>
      </rPr>
      <t xml:space="preserve">434kg</t>
    </r>
  </si>
  <si>
    <t xml:space="preserve">ローズノーブルの2021</t>
  </si>
  <si>
    <t xml:space="preserve">ラントリサント (Llantrisant)</t>
  </si>
  <si>
    <r>
      <rPr>
        <sz val="11"/>
        <rFont val="ＭＳ ゴシック"/>
        <family val="0"/>
        <charset val="1"/>
      </rPr>
      <t xml:space="preserve">29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[2-5-6-16]</t>
    </r>
  </si>
  <si>
    <t xml:space="preserve">スピカ賞涼太・友菜結婚記念杯--&gt;</t>
  </si>
  <si>
    <t xml:space="preserve">ピエリーナの2021</t>
  </si>
  <si>
    <t xml:space="preserve">バレルターン (Barrel Turn)</t>
  </si>
  <si>
    <r>
      <rPr>
        <sz val="11"/>
        <rFont val="ＭＳ ゴシック"/>
        <family val="0"/>
        <charset val="1"/>
      </rPr>
      <t xml:space="preserve">17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[3-9-1-4]</t>
    </r>
  </si>
  <si>
    <r>
      <rPr>
        <sz val="11"/>
        <rFont val="ＭＳ ゴシック"/>
        <family val="0"/>
        <charset val="1"/>
      </rPr>
      <t xml:space="preserve">25'</t>
    </r>
    <r>
      <rPr>
        <sz val="11"/>
        <rFont val="WenQuanYi Zen Hei"/>
        <family val="2"/>
      </rPr>
      <t xml:space="preserve">木津川特別</t>
    </r>
    <r>
      <rPr>
        <sz val="11"/>
        <rFont val="ＭＳ ゴシック"/>
        <family val="0"/>
        <charset val="1"/>
      </rPr>
      <t xml:space="preserve">(2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)25'</t>
    </r>
    <r>
      <rPr>
        <sz val="11"/>
        <rFont val="WenQuanYi Zen Hei"/>
        <family val="2"/>
      </rPr>
      <t xml:space="preserve">浄土平特別</t>
    </r>
    <r>
      <rPr>
        <sz val="11"/>
        <rFont val="ＭＳ ゴシック"/>
        <family val="0"/>
        <charset val="1"/>
      </rPr>
      <t xml:space="preserve">(1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)--&gt;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</si>
  <si>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10</t>
    </r>
    <r>
      <rPr>
        <sz val="11"/>
        <rFont val="WenQuanYi Zen Hei"/>
        <family val="2"/>
      </rPr>
      <t xml:space="preserve">歳・価格帯○</t>
    </r>
  </si>
  <si>
    <t xml:space="preserve">グレイシアブルーの2021</t>
  </si>
  <si>
    <t xml:space="preserve">パステルツェ (Pasterze)</t>
  </si>
  <si>
    <t xml:space="preserve">ヴィアンローズの2021</t>
  </si>
  <si>
    <t xml:space="preserve">アルジャヒリ (Al Jahili)</t>
  </si>
  <si>
    <t xml:space="preserve">アルアイン</t>
  </si>
  <si>
    <r>
      <rPr>
        <sz val="11"/>
        <rFont val="ＭＳ ゴシック"/>
        <family val="0"/>
        <charset val="1"/>
      </rPr>
      <t xml:space="preserve">46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[1-0-6-39]</t>
    </r>
  </si>
  <si>
    <r>
      <rPr>
        <sz val="11"/>
        <rFont val="ＭＳ ゴシック"/>
        <family val="0"/>
        <charset val="1"/>
      </rPr>
      <t xml:space="preserve">SAGA</t>
    </r>
    <r>
      <rPr>
        <sz val="11"/>
        <rFont val="WenQuanYi Zen Hei"/>
        <family val="2"/>
      </rPr>
      <t xml:space="preserve">リベンジャーズ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</si>
  <si>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</t>
    </r>
    <r>
      <rPr>
        <sz val="11"/>
        <rFont val="ＭＳ ゴシック"/>
        <family val="0"/>
        <charset val="1"/>
      </rPr>
      <t xml:space="preserve">430kg</t>
    </r>
  </si>
  <si>
    <t xml:space="preserve">ムーングロウの2021</t>
  </si>
  <si>
    <t xml:space="preserve">アーマルコライト (Armalcolite)</t>
  </si>
  <si>
    <r>
      <rPr>
        <sz val="11"/>
        <rFont val="ＭＳ ゴシック"/>
        <family val="0"/>
        <charset val="1"/>
      </rPr>
      <t xml:space="preserve">26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[3-4-3-16]</t>
    </r>
  </si>
  <si>
    <r>
      <rPr>
        <sz val="11"/>
        <rFont val="ＭＳ ゴシック"/>
        <family val="0"/>
        <charset val="1"/>
      </rPr>
      <t xml:space="preserve">25'4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24'3</t>
    </r>
    <r>
      <rPr>
        <sz val="11"/>
        <rFont val="WenQuanYi Zen Hei"/>
        <family val="2"/>
      </rPr>
      <t xml:space="preserve">歳以上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</si>
  <si>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・価格帯○・</t>
    </r>
    <r>
      <rPr>
        <sz val="11"/>
        <rFont val="ＭＳ ゴシック"/>
        <family val="0"/>
        <charset val="1"/>
      </rPr>
      <t xml:space="preserve">465kg</t>
    </r>
  </si>
  <si>
    <t xml:space="preserve">ブリトマルティスの2021</t>
  </si>
  <si>
    <t xml:space="preserve">ラダマンテュス (Rhadamanthus)</t>
  </si>
  <si>
    <r>
      <rPr>
        <sz val="11"/>
        <rFont val="ＭＳ ゴシック"/>
        <family val="0"/>
        <charset val="1"/>
      </rPr>
      <t xml:space="preserve">18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[0-1-1-16]</t>
    </r>
  </si>
  <si>
    <t xml:space="preserve">ココファンタジアの2021</t>
  </si>
  <si>
    <t xml:space="preserve">ブリゾ (Brizo)</t>
  </si>
  <si>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430kg</t>
    </r>
  </si>
  <si>
    <t xml:space="preserve">ブランシェクールの2021</t>
  </si>
  <si>
    <t xml:space="preserve">クールソリッド (Coeur Solide)</t>
  </si>
  <si>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[1-0-0-3]</t>
    </r>
  </si>
  <si>
    <r>
      <rPr>
        <sz val="11"/>
        <rFont val="ＭＳ ゴシック"/>
        <family val="0"/>
        <charset val="1"/>
      </rPr>
      <t xml:space="preserve">23'JRA</t>
    </r>
    <r>
      <rPr>
        <sz val="11"/>
        <rFont val="WenQuanYi Zen Hei"/>
        <family val="2"/>
      </rPr>
      <t xml:space="preserve">認定フレッシュチャレンジ</t>
    </r>
    <r>
      <rPr>
        <sz val="11"/>
        <rFont val="ＭＳ 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新馬</t>
    </r>
    <r>
      <rPr>
        <sz val="11"/>
        <rFont val="ＭＳ ゴシック"/>
        <family val="0"/>
        <charset val="1"/>
      </rPr>
      <t xml:space="preserve">)--&gt;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</si>
  <si>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4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475kg</t>
    </r>
  </si>
  <si>
    <t xml:space="preserve">ジルズパレスの2021</t>
  </si>
  <si>
    <t xml:space="preserve">コールブランド (Collbrande)</t>
  </si>
  <si>
    <t xml:space="preserve">レッドファルクス</t>
  </si>
  <si>
    <r>
      <rPr>
        <sz val="11"/>
        <rFont val="ＭＳ ゴシック"/>
        <family val="0"/>
        <charset val="1"/>
      </rPr>
      <t xml:space="preserve">34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6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[6-0-4-24]</t>
    </r>
  </si>
  <si>
    <r>
      <rPr>
        <sz val="11"/>
        <rFont val="ＭＳ ゴシック"/>
        <family val="0"/>
        <charset val="1"/>
      </rPr>
      <t xml:space="preserve">23'JRA</t>
    </r>
    <r>
      <rPr>
        <sz val="11"/>
        <rFont val="WenQuanYi Zen Hei"/>
        <family val="2"/>
      </rPr>
      <t xml:space="preserve">認定フレッシュチャレンジ</t>
    </r>
    <r>
      <rPr>
        <sz val="11"/>
        <rFont val="ＭＳ 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新馬</t>
    </r>
    <r>
      <rPr>
        <sz val="11"/>
        <rFont val="ＭＳ 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アウラー賞</t>
    </r>
    <r>
      <rPr>
        <sz val="11"/>
        <rFont val="ＭＳ ゴシック"/>
        <family val="0"/>
        <charset val="1"/>
      </rPr>
      <t xml:space="preserve">--&gt;</t>
    </r>
  </si>
  <si>
    <r>
      <rPr>
        <sz val="11"/>
        <rFont val="WenQuanYi Zen Hei"/>
        <family val="2"/>
      </rPr>
      <t xml:space="preserve">牡・</t>
    </r>
    <r>
      <rPr>
        <sz val="11"/>
        <rFont val="ＭＳ 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月生・</t>
    </r>
    <r>
      <rPr>
        <sz val="11"/>
        <rFont val="ＭＳ ゴシック"/>
        <family val="0"/>
        <charset val="1"/>
      </rPr>
      <t xml:space="preserve">NF</t>
    </r>
    <r>
      <rPr>
        <sz val="11"/>
        <rFont val="WenQuanYi Zen Hei"/>
        <family val="2"/>
      </rPr>
      <t xml:space="preserve">・母</t>
    </r>
    <r>
      <rPr>
        <sz val="11"/>
        <rFont val="ＭＳ ゴシック"/>
        <family val="0"/>
        <charset val="1"/>
      </rPr>
      <t xml:space="preserve">8</t>
    </r>
    <r>
      <rPr>
        <sz val="11"/>
        <rFont val="WenQuanYi Zen Hei"/>
        <family val="2"/>
      </rPr>
      <t xml:space="preserve">歳・</t>
    </r>
    <r>
      <rPr>
        <sz val="11"/>
        <rFont val="ＭＳ ゴシック"/>
        <family val="0"/>
        <charset val="1"/>
      </rPr>
      <t xml:space="preserve">463kg</t>
    </r>
  </si>
  <si>
    <t xml:space="preserve">ティッカーテープの2021</t>
  </si>
  <si>
    <t xml:space="preserve">グランドマーシャル (Grand Marshal)</t>
  </si>
  <si>
    <t xml:space="preserve">ワールドエース</t>
  </si>
  <si>
    <r>
      <rPr>
        <sz val="11"/>
        <rFont val="ＭＳ ゴシック"/>
        <family val="0"/>
        <charset val="1"/>
      </rPr>
      <t xml:space="preserve">13</t>
    </r>
    <r>
      <rPr>
        <sz val="11"/>
        <rFont val="WenQuanYi Zen Hei"/>
        <family val="2"/>
      </rPr>
      <t xml:space="preserve">戦</t>
    </r>
    <r>
      <rPr>
        <sz val="11"/>
        <rFont val="ＭＳ ゴシック"/>
        <family val="0"/>
        <charset val="1"/>
      </rPr>
      <t xml:space="preserve">0</t>
    </r>
    <r>
      <rPr>
        <sz val="11"/>
        <rFont val="WenQuanYi Zen Hei"/>
        <family val="2"/>
      </rPr>
      <t xml:space="preserve">勝 </t>
    </r>
    <r>
      <rPr>
        <sz val="11"/>
        <rFont val="ＭＳ ゴシック"/>
        <family val="0"/>
        <charset val="1"/>
      </rPr>
      <t xml:space="preserve">[0-1-2-10]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</si>
</sst>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\月d\日"/>
    <numFmt numFmtId="166" formatCode="#,##0"/>
    <numFmt numFmtId="167" formatCode="General"/>
    <numFmt numFmtId="168" formatCode="0%"/>
    <numFmt numFmtId="169" formatCode="0.0%"/>
    <numFmt numFmtId="170" formatCode="0.00%"/>
    <numFmt numFmtId="171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ＭＳ ゴシック"/>
      <family val="0"/>
      <charset val="1"/>
    </font>
    <font>
      <b val="true"/>
      <sz val="11"/>
      <name val="WenQuanYi Zen Hei"/>
      <family val="2"/>
      <charset val="1"/>
    </font>
    <font>
      <b val="true"/>
      <sz val="11"/>
      <name val="WenQuanYi Zen Hei"/>
      <family val="2"/>
    </font>
    <font>
      <sz val="11"/>
      <name val="ＭＳ ゴシック"/>
      <family val="0"/>
      <charset val="1"/>
    </font>
    <font>
      <sz val="11"/>
      <name val="WenQuanYi Zen Hei"/>
      <family val="2"/>
    </font>
    <font>
      <sz val="11"/>
      <name val="WenQuanYi Zen Hei"/>
      <family val="2"/>
      <charset val="1"/>
    </font>
    <font>
      <sz val="10"/>
      <name val="WenQuanYi Zen He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1" width="3.5"/>
    <col collapsed="false" customWidth="true" hidden="false" outlineLevel="0" max="3" min="3" style="1" width="38"/>
    <col collapsed="false" customWidth="true" hidden="false" outlineLevel="0" max="4" min="4" style="1" width="27.1"/>
    <col collapsed="false" customWidth="true" hidden="false" outlineLevel="0" max="5" min="5" style="1" width="22.6"/>
    <col collapsed="false" customWidth="true" hidden="false" outlineLevel="0" max="6" min="6" style="1" width="8.6"/>
    <col collapsed="false" customWidth="true" hidden="false" outlineLevel="0" max="8" min="7" style="1" width="10.5"/>
    <col collapsed="false" customWidth="true" hidden="false" outlineLevel="0" max="9" min="9" style="1" width="13.9"/>
    <col collapsed="false" customWidth="true" hidden="false" outlineLevel="0" max="11" min="10" style="1" width="11.7"/>
    <col collapsed="false" customWidth="true" hidden="false" outlineLevel="0" max="12" min="12" style="1" width="8.6"/>
    <col collapsed="false" customWidth="true" hidden="false" outlineLevel="0" max="13" min="13" style="1" width="11"/>
    <col collapsed="false" customWidth="true" hidden="false" outlineLevel="0" max="14" min="14" style="1" width="13"/>
    <col collapsed="false" customWidth="true" hidden="false" outlineLevel="0" max="15" min="15" style="1" width="11.7"/>
    <col collapsed="false" customWidth="true" hidden="false" outlineLevel="0" max="16" min="16" style="1" width="7.5"/>
    <col collapsed="false" customWidth="true" hidden="false" outlineLevel="0" max="18" min="18" style="1" width="16"/>
    <col collapsed="false" customWidth="true" hidden="false" outlineLevel="0" max="22" min="19" style="1" width="9"/>
    <col collapsed="false" customWidth="true" hidden="false" outlineLevel="0" max="23" min="23" style="0" width="34"/>
  </cols>
  <sheetData>
    <row r="1" customFormat="false" ht="1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5" t="s">
        <v>22</v>
      </c>
      <c r="X1" s="6" t="s">
        <v>23</v>
      </c>
    </row>
    <row r="2" customFormat="false" ht="15" hidden="false" customHeight="true" outlineLevel="0" collapsed="false">
      <c r="A2" s="6" t="n">
        <v>1</v>
      </c>
      <c r="B2" s="6"/>
      <c r="C2" s="7" t="s">
        <v>24</v>
      </c>
      <c r="D2" s="7" t="s">
        <v>25</v>
      </c>
      <c r="E2" s="7" t="s">
        <v>26</v>
      </c>
      <c r="F2" s="7" t="s">
        <v>27</v>
      </c>
      <c r="G2" s="7" t="s">
        <v>28</v>
      </c>
      <c r="H2" s="8" t="n">
        <v>45777</v>
      </c>
      <c r="I2" s="7" t="s">
        <v>29</v>
      </c>
      <c r="J2" s="9" t="n">
        <v>8000</v>
      </c>
      <c r="K2" s="9" t="n">
        <v>200000</v>
      </c>
      <c r="L2" s="6" t="n">
        <v>9</v>
      </c>
      <c r="M2" s="6" t="n">
        <v>3</v>
      </c>
      <c r="N2" s="6" t="n">
        <f aca="false">IF(OR(L2="",M2=""),"",L2+M2)</f>
        <v>12</v>
      </c>
      <c r="O2" s="6" t="n">
        <v>420</v>
      </c>
      <c r="P2" s="10" t="n">
        <f aca="false">IF(F2="牡",1,0)+IF(OR(MONTH(H2)=3,MONTH(H2)=4),1,0)+IF(LEFT(I2,4)="ノーザン",1,0)+IF(AND(L2&gt;=8,L2&lt;=11),1,0)+IF(AND(J2&gt;=2500,J2&lt;6000),1,0)+IF(O2&gt;=430,1,0)</f>
        <v>4</v>
      </c>
      <c r="Q2" s="7" t="s">
        <v>30</v>
      </c>
      <c r="R2" s="7" t="s">
        <v>31</v>
      </c>
      <c r="S2" s="6" t="s">
        <v>32</v>
      </c>
      <c r="T2" s="6" t="n">
        <v>147</v>
      </c>
      <c r="U2" s="6" t="n">
        <v>169</v>
      </c>
      <c r="V2" s="6" t="n">
        <v>20.6</v>
      </c>
      <c r="W2" s="11" t="s">
        <v>33</v>
      </c>
      <c r="X2" s="7" t="s">
        <v>34</v>
      </c>
    </row>
    <row r="3" customFormat="false" ht="15" hidden="false" customHeight="true" outlineLevel="0" collapsed="false">
      <c r="A3" s="6" t="n">
        <v>2</v>
      </c>
      <c r="B3" s="6"/>
      <c r="C3" s="7" t="s">
        <v>35</v>
      </c>
      <c r="D3" s="7" t="s">
        <v>25</v>
      </c>
      <c r="E3" s="6" t="s">
        <v>36</v>
      </c>
      <c r="F3" s="7" t="s">
        <v>37</v>
      </c>
      <c r="G3" s="7" t="s">
        <v>28</v>
      </c>
      <c r="H3" s="8" t="n">
        <v>45740</v>
      </c>
      <c r="I3" s="7" t="s">
        <v>29</v>
      </c>
      <c r="J3" s="9" t="n">
        <v>7000</v>
      </c>
      <c r="K3" s="9" t="n">
        <v>175000</v>
      </c>
      <c r="L3" s="6" t="n">
        <v>7</v>
      </c>
      <c r="M3" s="6" t="n">
        <v>1</v>
      </c>
      <c r="N3" s="6" t="n">
        <f aca="false">IF(OR(L3="",M3=""),"",L3+M3)</f>
        <v>8</v>
      </c>
      <c r="O3" s="6" t="n">
        <v>468</v>
      </c>
      <c r="P3" s="10" t="n">
        <f aca="false">IF(F3="牡",1,0)+IF(OR(MONTH(H3)=3,MONTH(H3)=4),1,0)+IF(LEFT(I3,4)="ノーザン",1,0)+IF(AND(L3&gt;=8,L3&lt;=11),1,0)+IF(AND(J3&gt;=2500,J3&lt;6000),1,0)+IF(O3&gt;=430,1,0)</f>
        <v>3</v>
      </c>
      <c r="Q3" s="7" t="s">
        <v>30</v>
      </c>
      <c r="R3" s="7" t="s">
        <v>38</v>
      </c>
      <c r="S3" s="6" t="s">
        <v>39</v>
      </c>
      <c r="T3" s="6" t="n">
        <v>158</v>
      </c>
      <c r="U3" s="6" t="n">
        <v>181</v>
      </c>
      <c r="V3" s="6" t="n">
        <v>19.5</v>
      </c>
      <c r="W3" s="12" t="s">
        <v>40</v>
      </c>
      <c r="X3" s="6" t="s">
        <v>41</v>
      </c>
    </row>
    <row r="4" customFormat="false" ht="15" hidden="false" customHeight="true" outlineLevel="0" collapsed="false">
      <c r="A4" s="6" t="n">
        <v>3</v>
      </c>
      <c r="B4" s="6"/>
      <c r="C4" s="7" t="s">
        <v>42</v>
      </c>
      <c r="D4" s="7" t="s">
        <v>25</v>
      </c>
      <c r="E4" s="6" t="s">
        <v>43</v>
      </c>
      <c r="F4" s="7" t="s">
        <v>37</v>
      </c>
      <c r="G4" s="7" t="s">
        <v>44</v>
      </c>
      <c r="H4" s="8" t="n">
        <v>45744</v>
      </c>
      <c r="I4" s="7" t="s">
        <v>29</v>
      </c>
      <c r="J4" s="9" t="n">
        <v>8000</v>
      </c>
      <c r="K4" s="9" t="n">
        <v>200000</v>
      </c>
      <c r="L4" s="6" t="n">
        <v>9</v>
      </c>
      <c r="M4" s="6" t="n">
        <v>3</v>
      </c>
      <c r="N4" s="6" t="n">
        <f aca="false">IF(OR(L4="",M4=""),"",L4+M4)</f>
        <v>12</v>
      </c>
      <c r="O4" s="6" t="n">
        <v>424</v>
      </c>
      <c r="P4" s="10" t="n">
        <f aca="false">IF(F4="牡",1,0)+IF(OR(MONTH(H4)=3,MONTH(H4)=4),1,0)+IF(LEFT(I4,4)="ノーザン",1,0)+IF(AND(L4&gt;=8,L4&lt;=11),1,0)+IF(AND(J4&gt;=2500,J4&lt;6000),1,0)+IF(O4&gt;=430,1,0)</f>
        <v>3</v>
      </c>
      <c r="Q4" s="7" t="s">
        <v>30</v>
      </c>
      <c r="R4" s="7" t="s">
        <v>45</v>
      </c>
      <c r="S4" s="6" t="s">
        <v>32</v>
      </c>
      <c r="T4" s="6" t="n">
        <v>157.5</v>
      </c>
      <c r="U4" s="6" t="n">
        <v>175</v>
      </c>
      <c r="V4" s="6" t="n">
        <v>20.1</v>
      </c>
      <c r="W4" s="12" t="s">
        <v>46</v>
      </c>
      <c r="X4" s="7" t="s">
        <v>47</v>
      </c>
    </row>
    <row r="5" customFormat="false" ht="15" hidden="false" customHeight="true" outlineLevel="0" collapsed="false">
      <c r="A5" s="6" t="n">
        <v>4</v>
      </c>
      <c r="B5" s="6" t="s">
        <v>48</v>
      </c>
      <c r="C5" s="7" t="s">
        <v>49</v>
      </c>
      <c r="D5" s="7" t="s">
        <v>50</v>
      </c>
      <c r="E5" s="7" t="s">
        <v>51</v>
      </c>
      <c r="F5" s="7" t="s">
        <v>27</v>
      </c>
      <c r="G5" s="7" t="s">
        <v>28</v>
      </c>
      <c r="H5" s="8" t="n">
        <v>45702</v>
      </c>
      <c r="I5" s="7" t="s">
        <v>29</v>
      </c>
      <c r="J5" s="9" t="n">
        <v>7000</v>
      </c>
      <c r="K5" s="9" t="n">
        <v>175000</v>
      </c>
      <c r="L5" s="6" t="n">
        <v>11</v>
      </c>
      <c r="M5" s="6" t="n">
        <v>4</v>
      </c>
      <c r="N5" s="6" t="n">
        <f aca="false">IF(OR(L5="",M5=""),"",L5+M5)</f>
        <v>15</v>
      </c>
      <c r="O5" s="6" t="n">
        <v>430</v>
      </c>
      <c r="P5" s="10" t="n">
        <f aca="false">IF(F5="牡",1,0)+IF(OR(MONTH(H5)=3,MONTH(H5)=4),1,0)+IF(LEFT(I5,4)="ノーザン",1,0)+IF(AND(L5&gt;=8,L5&lt;=11),1,0)+IF(AND(J5&gt;=2500,J5&lt;6000),1,0)+IF(O5&gt;=430,1,0)</f>
        <v>4</v>
      </c>
      <c r="Q5" s="7" t="s">
        <v>30</v>
      </c>
      <c r="R5" s="7" t="s">
        <v>45</v>
      </c>
      <c r="S5" s="6" t="s">
        <v>32</v>
      </c>
      <c r="T5" s="6" t="n">
        <v>155.5</v>
      </c>
      <c r="U5" s="6" t="n">
        <v>171</v>
      </c>
      <c r="V5" s="6" t="n">
        <v>20.3</v>
      </c>
      <c r="W5" s="11" t="s">
        <v>52</v>
      </c>
    </row>
    <row r="6" customFormat="false" ht="15" hidden="false" customHeight="true" outlineLevel="0" collapsed="false">
      <c r="A6" s="6" t="n">
        <v>5</v>
      </c>
      <c r="B6" s="6" t="s">
        <v>48</v>
      </c>
      <c r="C6" s="7" t="s">
        <v>53</v>
      </c>
      <c r="D6" s="7" t="s">
        <v>50</v>
      </c>
      <c r="E6" s="7" t="s">
        <v>54</v>
      </c>
      <c r="F6" s="7" t="s">
        <v>27</v>
      </c>
      <c r="G6" s="7" t="s">
        <v>28</v>
      </c>
      <c r="H6" s="8" t="n">
        <v>45759</v>
      </c>
      <c r="I6" s="7" t="s">
        <v>29</v>
      </c>
      <c r="J6" s="9" t="n">
        <v>5000</v>
      </c>
      <c r="K6" s="9" t="n">
        <v>125000</v>
      </c>
      <c r="L6" s="6" t="n">
        <v>12</v>
      </c>
      <c r="M6" s="6" t="n">
        <v>6</v>
      </c>
      <c r="N6" s="6" t="n">
        <f aca="false">IF(OR(L6="",M6=""),"",L6+M6)</f>
        <v>18</v>
      </c>
      <c r="O6" s="6" t="n">
        <v>430</v>
      </c>
      <c r="P6" s="10" t="n">
        <f aca="false">IF(F6="牡",1,0)+IF(OR(MONTH(H6)=3,MONTH(H6)=4),1,0)+IF(LEFT(I6,4)="ノーザン",1,0)+IF(AND(L6&gt;=8,L6&lt;=11),1,0)+IF(AND(J6&gt;=2500,J6&lt;6000),1,0)+IF(O6&gt;=430,1,0)</f>
        <v>5</v>
      </c>
      <c r="Q6" s="7" t="s">
        <v>30</v>
      </c>
      <c r="R6" s="7" t="s">
        <v>55</v>
      </c>
      <c r="S6" s="6" t="s">
        <v>32</v>
      </c>
      <c r="T6" s="6" t="n">
        <v>158</v>
      </c>
      <c r="U6" s="6" t="n">
        <v>175.5</v>
      </c>
      <c r="V6" s="6" t="n">
        <v>21</v>
      </c>
      <c r="W6" s="11" t="s">
        <v>56</v>
      </c>
    </row>
    <row r="7" customFormat="false" ht="15" hidden="false" customHeight="true" outlineLevel="0" collapsed="false">
      <c r="A7" s="6" t="n">
        <v>6</v>
      </c>
      <c r="B7" s="6" t="s">
        <v>48</v>
      </c>
      <c r="C7" s="7" t="s">
        <v>57</v>
      </c>
      <c r="D7" s="7" t="s">
        <v>50</v>
      </c>
      <c r="E7" s="7" t="s">
        <v>58</v>
      </c>
      <c r="F7" s="7" t="s">
        <v>37</v>
      </c>
      <c r="G7" s="7" t="s">
        <v>59</v>
      </c>
      <c r="H7" s="8" t="n">
        <v>45686</v>
      </c>
      <c r="I7" s="7" t="s">
        <v>29</v>
      </c>
      <c r="J7" s="9" t="n">
        <v>6000</v>
      </c>
      <c r="K7" s="9" t="n">
        <v>150000</v>
      </c>
      <c r="L7" s="6" t="n">
        <v>9</v>
      </c>
      <c r="M7" s="6" t="n">
        <v>3</v>
      </c>
      <c r="N7" s="6" t="n">
        <f aca="false">IF(OR(L7="",M7=""),"",L7+M7)</f>
        <v>12</v>
      </c>
      <c r="O7" s="6" t="n">
        <v>440</v>
      </c>
      <c r="P7" s="10" t="n">
        <f aca="false">IF(F7="牡",1,0)+IF(OR(MONTH(H7)=3,MONTH(H7)=4),1,0)+IF(LEFT(I7,4)="ノーザン",1,0)+IF(AND(L7&gt;=8,L7&lt;=11),1,0)+IF(AND(J7&gt;=2500,J7&lt;6000),1,0)+IF(O7&gt;=430,1,0)</f>
        <v>3</v>
      </c>
      <c r="Q7" s="7" t="s">
        <v>30</v>
      </c>
      <c r="R7" s="7" t="s">
        <v>60</v>
      </c>
      <c r="S7" s="6"/>
      <c r="T7" s="6" t="n">
        <v>153</v>
      </c>
      <c r="U7" s="6" t="n">
        <v>180</v>
      </c>
      <c r="V7" s="6" t="n">
        <v>19.7</v>
      </c>
      <c r="W7" s="12" t="s">
        <v>61</v>
      </c>
    </row>
    <row r="8" customFormat="false" ht="15" hidden="false" customHeight="true" outlineLevel="0" collapsed="false">
      <c r="A8" s="6" t="n">
        <v>7</v>
      </c>
      <c r="B8" s="6"/>
      <c r="C8" s="7" t="s">
        <v>62</v>
      </c>
      <c r="D8" s="7" t="s">
        <v>63</v>
      </c>
      <c r="E8" s="6" t="s">
        <v>64</v>
      </c>
      <c r="F8" s="7" t="s">
        <v>27</v>
      </c>
      <c r="G8" s="7" t="s">
        <v>65</v>
      </c>
      <c r="H8" s="8" t="n">
        <v>45698</v>
      </c>
      <c r="I8" s="7" t="s">
        <v>29</v>
      </c>
      <c r="J8" s="9" t="n">
        <v>10000</v>
      </c>
      <c r="K8" s="9" t="n">
        <v>250000</v>
      </c>
      <c r="L8" s="6" t="n">
        <v>13</v>
      </c>
      <c r="M8" s="6" t="n">
        <v>7</v>
      </c>
      <c r="N8" s="6" t="n">
        <f aca="false">IF(OR(L8="",M8=""),"",L8+M8)</f>
        <v>20</v>
      </c>
      <c r="O8" s="6" t="n">
        <v>454</v>
      </c>
      <c r="P8" s="10" t="n">
        <f aca="false">IF(F8="牡",1,0)+IF(OR(MONTH(H8)=3,MONTH(H8)=4),1,0)+IF(LEFT(I8,4)="ノーザン",1,0)+IF(AND(L8&gt;=8,L8&lt;=11),1,0)+IF(AND(J8&gt;=2500,J8&lt;6000),1,0)+IF(O8&gt;=430,1,0)</f>
        <v>3</v>
      </c>
      <c r="Q8" s="7" t="s">
        <v>30</v>
      </c>
      <c r="R8" s="7" t="s">
        <v>38</v>
      </c>
      <c r="S8" s="6" t="s">
        <v>39</v>
      </c>
      <c r="T8" s="6" t="n">
        <v>155</v>
      </c>
      <c r="U8" s="6" t="n">
        <v>179</v>
      </c>
      <c r="V8" s="6" t="n">
        <v>19.5</v>
      </c>
      <c r="W8" s="11" t="s">
        <v>66</v>
      </c>
    </row>
    <row r="9" customFormat="false" ht="15" hidden="false" customHeight="true" outlineLevel="0" collapsed="false">
      <c r="A9" s="6" t="n">
        <v>8</v>
      </c>
      <c r="B9" s="6" t="s">
        <v>48</v>
      </c>
      <c r="C9" s="7" t="s">
        <v>67</v>
      </c>
      <c r="D9" s="7" t="s">
        <v>63</v>
      </c>
      <c r="E9" s="7" t="s">
        <v>68</v>
      </c>
      <c r="F9" s="7" t="s">
        <v>37</v>
      </c>
      <c r="G9" s="7" t="s">
        <v>28</v>
      </c>
      <c r="H9" s="8" t="n">
        <v>45663</v>
      </c>
      <c r="I9" s="7" t="s">
        <v>29</v>
      </c>
      <c r="J9" s="9" t="n">
        <v>7000</v>
      </c>
      <c r="K9" s="9" t="n">
        <v>175000</v>
      </c>
      <c r="L9" s="6" t="n">
        <v>7</v>
      </c>
      <c r="M9" s="6" t="n">
        <v>1</v>
      </c>
      <c r="N9" s="6" t="n">
        <f aca="false">IF(OR(L9="",M9=""),"",L9+M9)</f>
        <v>8</v>
      </c>
      <c r="O9" s="6" t="n">
        <v>473</v>
      </c>
      <c r="P9" s="10" t="n">
        <f aca="false">IF(F9="牡",1,0)+IF(OR(MONTH(H9)=3,MONTH(H9)=4),1,0)+IF(LEFT(I9,4)="ノーザン",1,0)+IF(AND(L9&gt;=8,L9&lt;=11),1,0)+IF(AND(J9&gt;=2500,J9&lt;6000),1,0)+IF(O9&gt;=430,1,0)</f>
        <v>2</v>
      </c>
      <c r="Q9" s="7" t="s">
        <v>30</v>
      </c>
      <c r="R9" s="7" t="s">
        <v>69</v>
      </c>
      <c r="S9" s="6" t="s">
        <v>32</v>
      </c>
      <c r="T9" s="6" t="n">
        <v>155.5</v>
      </c>
      <c r="U9" s="6" t="n">
        <v>177.5</v>
      </c>
      <c r="V9" s="6" t="n">
        <v>20.1</v>
      </c>
      <c r="W9" s="12" t="s">
        <v>70</v>
      </c>
    </row>
    <row r="10" customFormat="false" ht="15" hidden="false" customHeight="true" outlineLevel="0" collapsed="false">
      <c r="A10" s="6" t="n">
        <v>9</v>
      </c>
      <c r="B10" s="6"/>
      <c r="C10" s="7" t="s">
        <v>71</v>
      </c>
      <c r="D10" s="7" t="s">
        <v>72</v>
      </c>
      <c r="E10" s="6" t="s">
        <v>73</v>
      </c>
      <c r="F10" s="7" t="s">
        <v>27</v>
      </c>
      <c r="G10" s="7" t="s">
        <v>65</v>
      </c>
      <c r="H10" s="8" t="n">
        <v>45720</v>
      </c>
      <c r="I10" s="7" t="s">
        <v>74</v>
      </c>
      <c r="J10" s="9" t="n">
        <v>6800</v>
      </c>
      <c r="K10" s="9" t="n">
        <v>170000</v>
      </c>
      <c r="L10" s="6" t="n">
        <v>17</v>
      </c>
      <c r="M10" s="6" t="n">
        <v>10</v>
      </c>
      <c r="N10" s="6" t="n">
        <f aca="false">IF(OR(L10="",M10=""),"",L10+M10)</f>
        <v>27</v>
      </c>
      <c r="O10" s="6" t="n">
        <v>415</v>
      </c>
      <c r="P10" s="10" t="n">
        <f aca="false">IF(F10="牡",1,0)+IF(OR(MONTH(H10)=3,MONTH(H10)=4),1,0)+IF(LEFT(I10,4)="ノーザン",1,0)+IF(AND(L10&gt;=8,L10&lt;=11),1,0)+IF(AND(J10&gt;=2500,J10&lt;6000),1,0)+IF(O10&gt;=430,1,0)</f>
        <v>3</v>
      </c>
      <c r="Q10" s="7" t="s">
        <v>30</v>
      </c>
      <c r="R10" s="7" t="s">
        <v>75</v>
      </c>
      <c r="S10" s="6"/>
      <c r="T10" s="6" t="n">
        <v>155</v>
      </c>
      <c r="U10" s="6" t="n">
        <v>173</v>
      </c>
      <c r="V10" s="6" t="n">
        <v>20.2</v>
      </c>
      <c r="W10" s="11" t="s">
        <v>76</v>
      </c>
    </row>
    <row r="11" customFormat="false" ht="15" hidden="false" customHeight="true" outlineLevel="0" collapsed="false">
      <c r="A11" s="6" t="n">
        <v>10</v>
      </c>
      <c r="B11" s="6" t="s">
        <v>48</v>
      </c>
      <c r="C11" s="7" t="s">
        <v>77</v>
      </c>
      <c r="D11" s="7" t="s">
        <v>72</v>
      </c>
      <c r="E11" s="7" t="s">
        <v>78</v>
      </c>
      <c r="F11" s="7" t="s">
        <v>27</v>
      </c>
      <c r="G11" s="7" t="s">
        <v>28</v>
      </c>
      <c r="H11" s="8" t="n">
        <v>45781</v>
      </c>
      <c r="I11" s="7" t="s">
        <v>29</v>
      </c>
      <c r="J11" s="9" t="n">
        <v>12000</v>
      </c>
      <c r="K11" s="9" t="n">
        <v>300000</v>
      </c>
      <c r="L11" s="6" t="n">
        <v>13</v>
      </c>
      <c r="M11" s="6" t="n">
        <v>5</v>
      </c>
      <c r="N11" s="6" t="n">
        <f aca="false">IF(OR(L11="",M11=""),"",L11+M11)</f>
        <v>18</v>
      </c>
      <c r="O11" s="6" t="n">
        <v>444</v>
      </c>
      <c r="P11" s="10" t="n">
        <f aca="false">IF(F11="牡",1,0)+IF(OR(MONTH(H11)=3,MONTH(H11)=4),1,0)+IF(LEFT(I11,4)="ノーザン",1,0)+IF(AND(L11&gt;=8,L11&lt;=11),1,0)+IF(AND(J11&gt;=2500,J11&lt;6000),1,0)+IF(O11&gt;=430,1,0)</f>
        <v>3</v>
      </c>
      <c r="Q11" s="7" t="s">
        <v>30</v>
      </c>
      <c r="R11" s="7" t="s">
        <v>79</v>
      </c>
      <c r="S11" s="6"/>
      <c r="T11" s="6" t="n">
        <v>158</v>
      </c>
      <c r="U11" s="6" t="n">
        <v>173.5</v>
      </c>
      <c r="V11" s="6" t="n">
        <v>21.3</v>
      </c>
      <c r="W11" s="11" t="s">
        <v>80</v>
      </c>
    </row>
    <row r="12" customFormat="false" ht="15" hidden="false" customHeight="true" outlineLevel="0" collapsed="false">
      <c r="A12" s="6" t="n">
        <v>11</v>
      </c>
      <c r="B12" s="6" t="s">
        <v>48</v>
      </c>
      <c r="C12" s="7" t="s">
        <v>81</v>
      </c>
      <c r="D12" s="7" t="s">
        <v>72</v>
      </c>
      <c r="E12" s="7" t="s">
        <v>82</v>
      </c>
      <c r="F12" s="7" t="s">
        <v>27</v>
      </c>
      <c r="G12" s="7" t="s">
        <v>65</v>
      </c>
      <c r="H12" s="8" t="n">
        <v>45787</v>
      </c>
      <c r="I12" s="7" t="s">
        <v>29</v>
      </c>
      <c r="J12" s="9" t="n">
        <v>8000</v>
      </c>
      <c r="K12" s="9" t="n">
        <v>200000</v>
      </c>
      <c r="L12" s="6" t="n">
        <v>10</v>
      </c>
      <c r="M12" s="6" t="n">
        <v>4</v>
      </c>
      <c r="N12" s="6" t="n">
        <f aca="false">IF(OR(L12="",M12=""),"",L12+M12)</f>
        <v>14</v>
      </c>
      <c r="O12" s="6" t="n">
        <v>402</v>
      </c>
      <c r="P12" s="10" t="n">
        <f aca="false">IF(F12="牡",1,0)+IF(OR(MONTH(H12)=3,MONTH(H12)=4),1,0)+IF(LEFT(I12,4)="ノーザン",1,0)+IF(AND(L12&gt;=8,L12&lt;=11),1,0)+IF(AND(J12&gt;=2500,J12&lt;6000),1,0)+IF(O12&gt;=430,1,0)</f>
        <v>3</v>
      </c>
      <c r="Q12" s="7" t="s">
        <v>30</v>
      </c>
      <c r="R12" s="7" t="s">
        <v>83</v>
      </c>
      <c r="S12" s="6"/>
      <c r="T12" s="6" t="n">
        <v>156</v>
      </c>
      <c r="U12" s="6" t="n">
        <v>169.5</v>
      </c>
      <c r="V12" s="6" t="n">
        <v>20.5</v>
      </c>
      <c r="W12" s="11" t="s">
        <v>84</v>
      </c>
    </row>
    <row r="13" customFormat="false" ht="15" hidden="false" customHeight="true" outlineLevel="0" collapsed="false">
      <c r="A13" s="6" t="n">
        <v>12</v>
      </c>
      <c r="B13" s="6"/>
      <c r="C13" s="7" t="s">
        <v>85</v>
      </c>
      <c r="D13" s="7" t="s">
        <v>72</v>
      </c>
      <c r="E13" s="6" t="s">
        <v>86</v>
      </c>
      <c r="F13" s="7" t="s">
        <v>37</v>
      </c>
      <c r="G13" s="7" t="s">
        <v>65</v>
      </c>
      <c r="H13" s="8" t="n">
        <v>45708</v>
      </c>
      <c r="I13" s="7" t="s">
        <v>29</v>
      </c>
      <c r="J13" s="9" t="n">
        <v>5000</v>
      </c>
      <c r="K13" s="9" t="n">
        <v>125000</v>
      </c>
      <c r="L13" s="6" t="n">
        <v>15</v>
      </c>
      <c r="M13" s="6" t="n">
        <v>7</v>
      </c>
      <c r="N13" s="6" t="n">
        <f aca="false">IF(OR(L13="",M13=""),"",L13+M13)</f>
        <v>22</v>
      </c>
      <c r="O13" s="6" t="n">
        <v>452</v>
      </c>
      <c r="P13" s="10" t="n">
        <f aca="false">IF(F13="牡",1,0)+IF(OR(MONTH(H13)=3,MONTH(H13)=4),1,0)+IF(LEFT(I13,4)="ノーザン",1,0)+IF(AND(L13&gt;=8,L13&lt;=11),1,0)+IF(AND(J13&gt;=2500,J13&lt;6000),1,0)+IF(O13&gt;=430,1,0)</f>
        <v>3</v>
      </c>
      <c r="Q13" s="7" t="s">
        <v>30</v>
      </c>
      <c r="R13" s="7" t="s">
        <v>55</v>
      </c>
      <c r="S13" s="6" t="s">
        <v>32</v>
      </c>
      <c r="T13" s="6" t="n">
        <v>154.5</v>
      </c>
      <c r="U13" s="6" t="n">
        <v>178</v>
      </c>
      <c r="V13" s="6" t="n">
        <v>19.2</v>
      </c>
      <c r="W13" s="12" t="s">
        <v>87</v>
      </c>
    </row>
    <row r="14" customFormat="false" ht="15" hidden="false" customHeight="true" outlineLevel="0" collapsed="false">
      <c r="A14" s="6" t="n">
        <v>13</v>
      </c>
      <c r="B14" s="6" t="s">
        <v>48</v>
      </c>
      <c r="C14" s="7" t="s">
        <v>88</v>
      </c>
      <c r="D14" s="7" t="s">
        <v>89</v>
      </c>
      <c r="E14" s="7" t="s">
        <v>54</v>
      </c>
      <c r="F14" s="7" t="s">
        <v>27</v>
      </c>
      <c r="G14" s="7" t="s">
        <v>59</v>
      </c>
      <c r="H14" s="8" t="n">
        <v>45742</v>
      </c>
      <c r="I14" s="7" t="s">
        <v>29</v>
      </c>
      <c r="J14" s="9" t="n">
        <v>8000</v>
      </c>
      <c r="K14" s="9" t="n">
        <v>200000</v>
      </c>
      <c r="L14" s="6" t="n">
        <v>14</v>
      </c>
      <c r="M14" s="6" t="n">
        <v>4</v>
      </c>
      <c r="N14" s="6" t="n">
        <f aca="false">IF(OR(L14="",M14=""),"",L14+M14)</f>
        <v>18</v>
      </c>
      <c r="O14" s="6" t="n">
        <v>443</v>
      </c>
      <c r="P14" s="10" t="n">
        <f aca="false">IF(F14="牡",1,0)+IF(OR(MONTH(H14)=3,MONTH(H14)=4),1,0)+IF(LEFT(I14,4)="ノーザン",1,0)+IF(AND(L14&gt;=8,L14&lt;=11),1,0)+IF(AND(J14&gt;=2500,J14&lt;6000),1,0)+IF(O14&gt;=430,1,0)</f>
        <v>4</v>
      </c>
      <c r="Q14" s="7" t="s">
        <v>30</v>
      </c>
      <c r="R14" s="7" t="s">
        <v>79</v>
      </c>
      <c r="S14" s="6"/>
      <c r="T14" s="6" t="n">
        <v>158</v>
      </c>
      <c r="U14" s="6" t="n">
        <v>179</v>
      </c>
      <c r="V14" s="6" t="n">
        <v>20.7</v>
      </c>
      <c r="W14" s="11" t="s">
        <v>90</v>
      </c>
    </row>
    <row r="15" customFormat="false" ht="15" hidden="false" customHeight="true" outlineLevel="0" collapsed="false">
      <c r="A15" s="6" t="n">
        <v>14</v>
      </c>
      <c r="B15" s="6" t="s">
        <v>48</v>
      </c>
      <c r="C15" s="7" t="s">
        <v>91</v>
      </c>
      <c r="D15" s="7" t="s">
        <v>89</v>
      </c>
      <c r="E15" s="7" t="s">
        <v>92</v>
      </c>
      <c r="F15" s="7" t="s">
        <v>37</v>
      </c>
      <c r="G15" s="7" t="s">
        <v>28</v>
      </c>
      <c r="H15" s="8" t="n">
        <v>45673</v>
      </c>
      <c r="I15" s="7" t="s">
        <v>29</v>
      </c>
      <c r="J15" s="9" t="n">
        <v>7000</v>
      </c>
      <c r="K15" s="9" t="n">
        <v>175000</v>
      </c>
      <c r="L15" s="6" t="n">
        <v>12</v>
      </c>
      <c r="M15" s="6" t="n">
        <v>5</v>
      </c>
      <c r="N15" s="6" t="n">
        <f aca="false">IF(OR(L15="",M15=""),"",L15+M15)</f>
        <v>17</v>
      </c>
      <c r="O15" s="6" t="n">
        <v>479</v>
      </c>
      <c r="P15" s="10" t="n">
        <f aca="false">IF(F15="牡",1,0)+IF(OR(MONTH(H15)=3,MONTH(H15)=4),1,0)+IF(LEFT(I15,4)="ノーザン",1,0)+IF(AND(L15&gt;=8,L15&lt;=11),1,0)+IF(AND(J15&gt;=2500,J15&lt;6000),1,0)+IF(O15&gt;=430,1,0)</f>
        <v>2</v>
      </c>
      <c r="Q15" s="7" t="s">
        <v>30</v>
      </c>
      <c r="R15" s="7" t="s">
        <v>45</v>
      </c>
      <c r="S15" s="6" t="s">
        <v>32</v>
      </c>
      <c r="T15" s="6" t="n">
        <v>155</v>
      </c>
      <c r="U15" s="6" t="n">
        <v>184.5</v>
      </c>
      <c r="V15" s="6" t="n">
        <v>19.6</v>
      </c>
      <c r="W15" s="12" t="s">
        <v>93</v>
      </c>
    </row>
    <row r="16" customFormat="false" ht="15" hidden="false" customHeight="true" outlineLevel="0" collapsed="false">
      <c r="A16" s="6" t="n">
        <v>15</v>
      </c>
      <c r="B16" s="6" t="s">
        <v>48</v>
      </c>
      <c r="C16" s="7" t="s">
        <v>94</v>
      </c>
      <c r="D16" s="7" t="s">
        <v>95</v>
      </c>
      <c r="E16" s="7" t="s">
        <v>82</v>
      </c>
      <c r="F16" s="7" t="s">
        <v>27</v>
      </c>
      <c r="G16" s="7" t="s">
        <v>96</v>
      </c>
      <c r="H16" s="8" t="n">
        <v>45732</v>
      </c>
      <c r="I16" s="7" t="s">
        <v>29</v>
      </c>
      <c r="J16" s="9" t="n">
        <v>8000</v>
      </c>
      <c r="K16" s="9" t="n">
        <v>200000</v>
      </c>
      <c r="L16" s="6" t="n">
        <v>8</v>
      </c>
      <c r="M16" s="6" t="n">
        <v>2</v>
      </c>
      <c r="N16" s="6" t="n">
        <f aca="false">IF(OR(L16="",M16=""),"",L16+M16)</f>
        <v>10</v>
      </c>
      <c r="O16" s="6" t="n">
        <v>415</v>
      </c>
      <c r="P16" s="10" t="n">
        <f aca="false">IF(F16="牡",1,0)+IF(OR(MONTH(H16)=3,MONTH(H16)=4),1,0)+IF(LEFT(I16,4)="ノーザン",1,0)+IF(AND(L16&gt;=8,L16&lt;=11),1,0)+IF(AND(J16&gt;=2500,J16&lt;6000),1,0)+IF(O16&gt;=430,1,0)</f>
        <v>4</v>
      </c>
      <c r="Q16" s="7" t="s">
        <v>30</v>
      </c>
      <c r="R16" s="7" t="s">
        <v>97</v>
      </c>
      <c r="S16" s="6"/>
      <c r="T16" s="6" t="n">
        <v>153.5</v>
      </c>
      <c r="U16" s="6" t="n">
        <v>169.5</v>
      </c>
      <c r="V16" s="6" t="n">
        <v>20.5</v>
      </c>
      <c r="W16" s="11" t="s">
        <v>98</v>
      </c>
    </row>
    <row r="17" customFormat="false" ht="15" hidden="false" customHeight="true" outlineLevel="0" collapsed="false">
      <c r="A17" s="6" t="n">
        <v>16</v>
      </c>
      <c r="B17" s="6"/>
      <c r="C17" s="7" t="s">
        <v>99</v>
      </c>
      <c r="D17" s="7" t="s">
        <v>95</v>
      </c>
      <c r="E17" s="6" t="s">
        <v>100</v>
      </c>
      <c r="F17" s="7" t="s">
        <v>37</v>
      </c>
      <c r="G17" s="7" t="s">
        <v>96</v>
      </c>
      <c r="H17" s="8" t="n">
        <v>45716</v>
      </c>
      <c r="I17" s="7" t="s">
        <v>29</v>
      </c>
      <c r="J17" s="9" t="n">
        <v>5000</v>
      </c>
      <c r="K17" s="9" t="n">
        <v>125000</v>
      </c>
      <c r="L17" s="6" t="n">
        <v>11</v>
      </c>
      <c r="M17" s="6" t="n">
        <v>6</v>
      </c>
      <c r="N17" s="6" t="n">
        <f aca="false">IF(OR(L17="",M17=""),"",L17+M17)</f>
        <v>17</v>
      </c>
      <c r="O17" s="6" t="n">
        <v>467</v>
      </c>
      <c r="P17" s="10" t="n">
        <f aca="false">IF(F17="牡",1,0)+IF(OR(MONTH(H17)=3,MONTH(H17)=4),1,0)+IF(LEFT(I17,4)="ノーザン",1,0)+IF(AND(L17&gt;=8,L17&lt;=11),1,0)+IF(AND(J17&gt;=2500,J17&lt;6000),1,0)+IF(O17&gt;=430,1,0)</f>
        <v>4</v>
      </c>
      <c r="Q17" s="7" t="s">
        <v>30</v>
      </c>
      <c r="R17" s="7" t="s">
        <v>101</v>
      </c>
      <c r="S17" s="6"/>
      <c r="T17" s="6" t="n">
        <v>154</v>
      </c>
      <c r="U17" s="6" t="n">
        <v>178.5</v>
      </c>
      <c r="V17" s="6" t="n">
        <v>19.6</v>
      </c>
      <c r="W17" s="12" t="s">
        <v>102</v>
      </c>
    </row>
    <row r="18" customFormat="false" ht="15" hidden="false" customHeight="true" outlineLevel="0" collapsed="false">
      <c r="A18" s="6" t="n">
        <v>17</v>
      </c>
      <c r="B18" s="6"/>
      <c r="C18" s="7" t="s">
        <v>103</v>
      </c>
      <c r="D18" s="7" t="s">
        <v>104</v>
      </c>
      <c r="E18" s="6" t="s">
        <v>105</v>
      </c>
      <c r="F18" s="7" t="s">
        <v>27</v>
      </c>
      <c r="G18" s="7" t="s">
        <v>59</v>
      </c>
      <c r="H18" s="8" t="n">
        <v>45735</v>
      </c>
      <c r="I18" s="7" t="s">
        <v>29</v>
      </c>
      <c r="J18" s="9" t="n">
        <v>6000</v>
      </c>
      <c r="K18" s="9" t="n">
        <v>150000</v>
      </c>
      <c r="L18" s="6" t="n">
        <v>12</v>
      </c>
      <c r="M18" s="6" t="n">
        <v>5</v>
      </c>
      <c r="N18" s="6" t="n">
        <f aca="false">IF(OR(L18="",M18=""),"",L18+M18)</f>
        <v>17</v>
      </c>
      <c r="O18" s="6" t="n">
        <v>438</v>
      </c>
      <c r="P18" s="10" t="n">
        <f aca="false">IF(F18="牡",1,0)+IF(OR(MONTH(H18)=3,MONTH(H18)=4),1,0)+IF(LEFT(I18,4)="ノーザン",1,0)+IF(AND(L18&gt;=8,L18&lt;=11),1,0)+IF(AND(J18&gt;=2500,J18&lt;6000),1,0)+IF(O18&gt;=430,1,0)</f>
        <v>4</v>
      </c>
      <c r="Q18" s="7" t="s">
        <v>30</v>
      </c>
      <c r="R18" s="7" t="s">
        <v>106</v>
      </c>
      <c r="S18" s="6"/>
      <c r="T18" s="6" t="n">
        <v>155</v>
      </c>
      <c r="U18" s="6" t="n">
        <v>173.5</v>
      </c>
      <c r="V18" s="6" t="n">
        <v>21</v>
      </c>
      <c r="W18" s="11" t="s">
        <v>107</v>
      </c>
    </row>
    <row r="19" customFormat="false" ht="15" hidden="false" customHeight="true" outlineLevel="0" collapsed="false">
      <c r="A19" s="6" t="n">
        <v>18</v>
      </c>
      <c r="B19" s="6" t="s">
        <v>48</v>
      </c>
      <c r="C19" s="7" t="s">
        <v>108</v>
      </c>
      <c r="D19" s="7" t="s">
        <v>104</v>
      </c>
      <c r="E19" s="7" t="s">
        <v>26</v>
      </c>
      <c r="F19" s="7" t="s">
        <v>37</v>
      </c>
      <c r="G19" s="7" t="s">
        <v>59</v>
      </c>
      <c r="H19" s="8" t="n">
        <v>45659</v>
      </c>
      <c r="I19" s="7" t="s">
        <v>29</v>
      </c>
      <c r="J19" s="9" t="n">
        <v>4600</v>
      </c>
      <c r="K19" s="9" t="n">
        <v>115000</v>
      </c>
      <c r="L19" s="6" t="n">
        <v>7</v>
      </c>
      <c r="M19" s="6" t="n">
        <v>2</v>
      </c>
      <c r="N19" s="6" t="n">
        <f aca="false">IF(OR(L19="",M19=""),"",L19+M19)</f>
        <v>9</v>
      </c>
      <c r="O19" s="6" t="n">
        <v>471</v>
      </c>
      <c r="P19" s="10" t="n">
        <f aca="false">IF(F19="牡",1,0)+IF(OR(MONTH(H19)=3,MONTH(H19)=4),1,0)+IF(LEFT(I19,4)="ノーザン",1,0)+IF(AND(L19&gt;=8,L19&lt;=11),1,0)+IF(AND(J19&gt;=2500,J19&lt;6000),1,0)+IF(O19&gt;=430,1,0)</f>
        <v>3</v>
      </c>
      <c r="Q19" s="7" t="s">
        <v>30</v>
      </c>
      <c r="R19" s="7" t="s">
        <v>109</v>
      </c>
      <c r="S19" s="6"/>
      <c r="T19" s="6" t="n">
        <v>155</v>
      </c>
      <c r="U19" s="6" t="n">
        <v>180</v>
      </c>
      <c r="V19" s="6" t="n">
        <v>21</v>
      </c>
      <c r="W19" s="12" t="s">
        <v>110</v>
      </c>
    </row>
    <row r="20" customFormat="false" ht="15" hidden="false" customHeight="true" outlineLevel="0" collapsed="false">
      <c r="A20" s="6" t="n">
        <v>19</v>
      </c>
      <c r="B20" s="6" t="s">
        <v>48</v>
      </c>
      <c r="C20" s="7" t="s">
        <v>111</v>
      </c>
      <c r="D20" s="7" t="s">
        <v>26</v>
      </c>
      <c r="E20" s="7" t="s">
        <v>112</v>
      </c>
      <c r="F20" s="7" t="s">
        <v>27</v>
      </c>
      <c r="G20" s="7" t="s">
        <v>28</v>
      </c>
      <c r="H20" s="8" t="n">
        <v>45739</v>
      </c>
      <c r="I20" s="7" t="s">
        <v>29</v>
      </c>
      <c r="J20" s="9" t="n">
        <v>6000</v>
      </c>
      <c r="K20" s="9" t="n">
        <v>150000</v>
      </c>
      <c r="L20" s="6" t="n">
        <v>13</v>
      </c>
      <c r="M20" s="6" t="n">
        <v>7</v>
      </c>
      <c r="N20" s="6" t="n">
        <f aca="false">IF(OR(L20="",M20=""),"",L20+M20)</f>
        <v>20</v>
      </c>
      <c r="O20" s="6" t="n">
        <v>436</v>
      </c>
      <c r="P20" s="10" t="n">
        <f aca="false">IF(F20="牡",1,0)+IF(OR(MONTH(H20)=3,MONTH(H20)=4),1,0)+IF(LEFT(I20,4)="ノーザン",1,0)+IF(AND(L20&gt;=8,L20&lt;=11),1,0)+IF(AND(J20&gt;=2500,J20&lt;6000),1,0)+IF(O20&gt;=430,1,0)</f>
        <v>4</v>
      </c>
      <c r="Q20" s="7" t="s">
        <v>30</v>
      </c>
      <c r="R20" s="7" t="s">
        <v>113</v>
      </c>
      <c r="S20" s="6"/>
      <c r="T20" s="6" t="n">
        <v>152</v>
      </c>
      <c r="U20" s="6" t="n">
        <v>172.5</v>
      </c>
      <c r="V20" s="6" t="n">
        <v>20</v>
      </c>
      <c r="W20" s="11" t="s">
        <v>114</v>
      </c>
    </row>
    <row r="21" customFormat="false" ht="15" hidden="false" customHeight="true" outlineLevel="0" collapsed="false">
      <c r="A21" s="6" t="n">
        <v>20</v>
      </c>
      <c r="B21" s="6"/>
      <c r="C21" s="7" t="s">
        <v>115</v>
      </c>
      <c r="D21" s="7" t="s">
        <v>26</v>
      </c>
      <c r="E21" s="7" t="s">
        <v>54</v>
      </c>
      <c r="F21" s="7" t="s">
        <v>37</v>
      </c>
      <c r="G21" s="7" t="s">
        <v>28</v>
      </c>
      <c r="H21" s="8" t="n">
        <v>45745</v>
      </c>
      <c r="I21" s="7" t="s">
        <v>29</v>
      </c>
      <c r="J21" s="9" t="n">
        <v>4000</v>
      </c>
      <c r="K21" s="9" t="n">
        <v>100000</v>
      </c>
      <c r="L21" s="6" t="n">
        <v>17</v>
      </c>
      <c r="M21" s="6" t="n">
        <v>10</v>
      </c>
      <c r="N21" s="6" t="n">
        <f aca="false">IF(OR(L21="",M21=""),"",L21+M21)</f>
        <v>27</v>
      </c>
      <c r="O21" s="6" t="n">
        <v>423</v>
      </c>
      <c r="P21" s="10" t="n">
        <f aca="false">IF(F21="牡",1,0)+IF(OR(MONTH(H21)=3,MONTH(H21)=4),1,0)+IF(LEFT(I21,4)="ノーザン",1,0)+IF(AND(L21&gt;=8,L21&lt;=11),1,0)+IF(AND(J21&gt;=2500,J21&lt;6000),1,0)+IF(O21&gt;=430,1,0)</f>
        <v>3</v>
      </c>
      <c r="Q21" s="7" t="s">
        <v>30</v>
      </c>
      <c r="R21" s="7" t="s">
        <v>116</v>
      </c>
      <c r="S21" s="6"/>
      <c r="T21" s="6" t="n">
        <v>151</v>
      </c>
      <c r="U21" s="6" t="n">
        <v>174.5</v>
      </c>
      <c r="V21" s="6" t="n">
        <v>19</v>
      </c>
      <c r="W21" s="12" t="s">
        <v>117</v>
      </c>
    </row>
    <row r="22" customFormat="false" ht="15" hidden="false" customHeight="true" outlineLevel="0" collapsed="false">
      <c r="A22" s="6" t="n">
        <v>21</v>
      </c>
      <c r="B22" s="6"/>
      <c r="C22" s="7" t="s">
        <v>118</v>
      </c>
      <c r="D22" s="7" t="s">
        <v>119</v>
      </c>
      <c r="E22" s="7" t="s">
        <v>120</v>
      </c>
      <c r="F22" s="7" t="s">
        <v>27</v>
      </c>
      <c r="G22" s="7" t="s">
        <v>96</v>
      </c>
      <c r="H22" s="8" t="n">
        <v>45770</v>
      </c>
      <c r="I22" s="7" t="s">
        <v>29</v>
      </c>
      <c r="J22" s="9" t="n">
        <v>5600</v>
      </c>
      <c r="K22" s="9" t="n">
        <v>140000</v>
      </c>
      <c r="L22" s="6" t="n">
        <v>18</v>
      </c>
      <c r="M22" s="6" t="n">
        <v>11</v>
      </c>
      <c r="N22" s="6" t="n">
        <f aca="false">IF(OR(L22="",M22=""),"",L22+M22)</f>
        <v>29</v>
      </c>
      <c r="O22" s="6" t="n">
        <v>431</v>
      </c>
      <c r="P22" s="10" t="n">
        <f aca="false">IF(F22="牡",1,0)+IF(OR(MONTH(H22)=3,MONTH(H22)=4),1,0)+IF(LEFT(I22,4)="ノーザン",1,0)+IF(AND(L22&gt;=8,L22&lt;=11),1,0)+IF(AND(J22&gt;=2500,J22&lt;6000),1,0)+IF(O22&gt;=430,1,0)</f>
        <v>5</v>
      </c>
      <c r="Q22" s="7" t="s">
        <v>30</v>
      </c>
      <c r="R22" s="7" t="s">
        <v>121</v>
      </c>
      <c r="S22" s="6"/>
      <c r="T22" s="6" t="n">
        <v>153.5</v>
      </c>
      <c r="U22" s="6" t="n">
        <v>169.5</v>
      </c>
      <c r="V22" s="6" t="n">
        <v>20.3</v>
      </c>
      <c r="W22" s="11" t="s">
        <v>122</v>
      </c>
    </row>
    <row r="23" customFormat="false" ht="15" hidden="false" customHeight="true" outlineLevel="0" collapsed="false">
      <c r="A23" s="6" t="n">
        <v>22</v>
      </c>
      <c r="B23" s="6" t="s">
        <v>48</v>
      </c>
      <c r="C23" s="7" t="s">
        <v>123</v>
      </c>
      <c r="D23" s="7" t="s">
        <v>124</v>
      </c>
      <c r="E23" s="7" t="s">
        <v>125</v>
      </c>
      <c r="F23" s="7" t="s">
        <v>27</v>
      </c>
      <c r="G23" s="7" t="s">
        <v>28</v>
      </c>
      <c r="H23" s="8" t="n">
        <v>45727</v>
      </c>
      <c r="I23" s="7" t="s">
        <v>29</v>
      </c>
      <c r="J23" s="9" t="n">
        <v>5000</v>
      </c>
      <c r="K23" s="9" t="n">
        <v>125000</v>
      </c>
      <c r="L23" s="6" t="n">
        <v>11</v>
      </c>
      <c r="M23" s="6" t="n">
        <v>5</v>
      </c>
      <c r="N23" s="6" t="n">
        <f aca="false">IF(OR(L23="",M23=""),"",L23+M23)</f>
        <v>16</v>
      </c>
      <c r="O23" s="6" t="n">
        <v>410</v>
      </c>
      <c r="P23" s="10" t="n">
        <f aca="false">IF(F23="牡",1,0)+IF(OR(MONTH(H23)=3,MONTH(H23)=4),1,0)+IF(LEFT(I23,4)="ノーザン",1,0)+IF(AND(L23&gt;=8,L23&lt;=11),1,0)+IF(AND(J23&gt;=2500,J23&lt;6000),1,0)+IF(O23&gt;=430,1,0)</f>
        <v>5</v>
      </c>
      <c r="Q23" s="7" t="s">
        <v>30</v>
      </c>
      <c r="R23" s="7" t="s">
        <v>126</v>
      </c>
      <c r="S23" s="6"/>
      <c r="T23" s="6" t="n">
        <v>152</v>
      </c>
      <c r="U23" s="6" t="n">
        <v>174</v>
      </c>
      <c r="V23" s="6" t="n">
        <v>19.7</v>
      </c>
      <c r="W23" s="11" t="s">
        <v>127</v>
      </c>
    </row>
    <row r="24" customFormat="false" ht="15" hidden="false" customHeight="true" outlineLevel="0" collapsed="false">
      <c r="A24" s="6" t="n">
        <v>23</v>
      </c>
      <c r="B24" s="6" t="s">
        <v>48</v>
      </c>
      <c r="C24" s="7" t="s">
        <v>128</v>
      </c>
      <c r="D24" s="7" t="s">
        <v>129</v>
      </c>
      <c r="E24" s="7" t="s">
        <v>82</v>
      </c>
      <c r="F24" s="7" t="s">
        <v>37</v>
      </c>
      <c r="G24" s="7" t="s">
        <v>59</v>
      </c>
      <c r="H24" s="8" t="n">
        <v>45680</v>
      </c>
      <c r="I24" s="7" t="s">
        <v>29</v>
      </c>
      <c r="J24" s="9" t="n">
        <v>3200</v>
      </c>
      <c r="K24" s="9" t="n">
        <v>80000</v>
      </c>
      <c r="L24" s="6" t="n">
        <v>8</v>
      </c>
      <c r="M24" s="6" t="n">
        <v>2</v>
      </c>
      <c r="N24" s="6" t="n">
        <f aca="false">IF(OR(L24="",M24=""),"",L24+M24)</f>
        <v>10</v>
      </c>
      <c r="O24" s="6" t="n">
        <v>442</v>
      </c>
      <c r="P24" s="10" t="n">
        <f aca="false">IF(F24="牡",1,0)+IF(OR(MONTH(H24)=3,MONTH(H24)=4),1,0)+IF(LEFT(I24,4)="ノーザン",1,0)+IF(AND(L24&gt;=8,L24&lt;=11),1,0)+IF(AND(J24&gt;=2500,J24&lt;6000),1,0)+IF(O24&gt;=430,1,0)</f>
        <v>4</v>
      </c>
      <c r="Q24" s="7" t="s">
        <v>30</v>
      </c>
      <c r="R24" s="7" t="s">
        <v>130</v>
      </c>
      <c r="S24" s="6"/>
      <c r="T24" s="6" t="n">
        <v>156.5</v>
      </c>
      <c r="U24" s="6" t="n">
        <v>181.5</v>
      </c>
      <c r="V24" s="6" t="n">
        <v>19.7</v>
      </c>
      <c r="W24" s="12" t="s">
        <v>131</v>
      </c>
    </row>
    <row r="25" customFormat="false" ht="15" hidden="false" customHeight="true" outlineLevel="0" collapsed="false">
      <c r="A25" s="6" t="n">
        <v>24</v>
      </c>
      <c r="B25" s="6" t="s">
        <v>48</v>
      </c>
      <c r="C25" s="7" t="s">
        <v>132</v>
      </c>
      <c r="D25" s="7" t="s">
        <v>129</v>
      </c>
      <c r="E25" s="7" t="s">
        <v>89</v>
      </c>
      <c r="F25" s="7" t="s">
        <v>37</v>
      </c>
      <c r="G25" s="7" t="s">
        <v>28</v>
      </c>
      <c r="H25" s="8" t="n">
        <v>45686</v>
      </c>
      <c r="I25" s="7" t="s">
        <v>29</v>
      </c>
      <c r="J25" s="9" t="n">
        <v>3000</v>
      </c>
      <c r="K25" s="9" t="n">
        <v>75000</v>
      </c>
      <c r="L25" s="6" t="n">
        <v>8</v>
      </c>
      <c r="M25" s="6" t="n">
        <v>4</v>
      </c>
      <c r="N25" s="6" t="n">
        <f aca="false">IF(OR(L25="",M25=""),"",L25+M25)</f>
        <v>12</v>
      </c>
      <c r="O25" s="6" t="n">
        <v>442</v>
      </c>
      <c r="P25" s="10" t="n">
        <f aca="false">IF(F25="牡",1,0)+IF(OR(MONTH(H25)=3,MONTH(H25)=4),1,0)+IF(LEFT(I25,4)="ノーザン",1,0)+IF(AND(L25&gt;=8,L25&lt;=11),1,0)+IF(AND(J25&gt;=2500,J25&lt;6000),1,0)+IF(O25&gt;=430,1,0)</f>
        <v>4</v>
      </c>
      <c r="Q25" s="7" t="s">
        <v>30</v>
      </c>
      <c r="R25" s="7" t="s">
        <v>133</v>
      </c>
      <c r="S25" s="6"/>
      <c r="T25" s="6" t="n">
        <v>154.5</v>
      </c>
      <c r="U25" s="6" t="n">
        <v>173</v>
      </c>
      <c r="V25" s="6" t="n">
        <v>18.5</v>
      </c>
      <c r="W25" s="12" t="s">
        <v>131</v>
      </c>
    </row>
    <row r="26" customFormat="false" ht="15" hidden="false" customHeight="true" outlineLevel="0" collapsed="false">
      <c r="A26" s="6" t="n">
        <v>25</v>
      </c>
      <c r="B26" s="6" t="s">
        <v>48</v>
      </c>
      <c r="C26" s="7" t="s">
        <v>134</v>
      </c>
      <c r="D26" s="7" t="s">
        <v>135</v>
      </c>
      <c r="E26" s="7" t="s">
        <v>26</v>
      </c>
      <c r="F26" s="7" t="s">
        <v>27</v>
      </c>
      <c r="G26" s="7" t="s">
        <v>59</v>
      </c>
      <c r="H26" s="8" t="n">
        <v>45749</v>
      </c>
      <c r="I26" s="7" t="s">
        <v>29</v>
      </c>
      <c r="J26" s="9" t="n">
        <v>5000</v>
      </c>
      <c r="K26" s="9" t="n">
        <v>125000</v>
      </c>
      <c r="L26" s="6" t="n">
        <v>10</v>
      </c>
      <c r="M26" s="6" t="n">
        <v>5</v>
      </c>
      <c r="N26" s="6" t="n">
        <f aca="false">IF(OR(L26="",M26=""),"",L26+M26)</f>
        <v>15</v>
      </c>
      <c r="O26" s="6" t="n">
        <v>447</v>
      </c>
      <c r="P26" s="10" t="n">
        <f aca="false">IF(F26="牡",1,0)+IF(OR(MONTH(H26)=3,MONTH(H26)=4),1,0)+IF(LEFT(I26,4)="ノーザン",1,0)+IF(AND(L26&gt;=8,L26&lt;=11),1,0)+IF(AND(J26&gt;=2500,J26&lt;6000),1,0)+IF(O26&gt;=430,1,0)</f>
        <v>6</v>
      </c>
      <c r="Q26" s="7" t="s">
        <v>30</v>
      </c>
      <c r="R26" s="7" t="s">
        <v>136</v>
      </c>
      <c r="S26" s="6"/>
      <c r="T26" s="6" t="n">
        <v>158</v>
      </c>
      <c r="U26" s="6" t="n">
        <v>174.5</v>
      </c>
      <c r="V26" s="6" t="n">
        <v>20.7</v>
      </c>
      <c r="W26" s="11" t="s">
        <v>137</v>
      </c>
    </row>
    <row r="27" customFormat="false" ht="15" hidden="false" customHeight="true" outlineLevel="0" collapsed="false">
      <c r="A27" s="6" t="n">
        <v>26</v>
      </c>
      <c r="B27" s="6"/>
      <c r="C27" s="7" t="s">
        <v>138</v>
      </c>
      <c r="D27" s="7" t="s">
        <v>135</v>
      </c>
      <c r="E27" s="7" t="s">
        <v>54</v>
      </c>
      <c r="F27" s="7" t="s">
        <v>37</v>
      </c>
      <c r="G27" s="7" t="s">
        <v>28</v>
      </c>
      <c r="H27" s="8" t="n">
        <v>45694</v>
      </c>
      <c r="I27" s="7" t="s">
        <v>29</v>
      </c>
      <c r="J27" s="9" t="n">
        <v>5000</v>
      </c>
      <c r="K27" s="9" t="n">
        <v>125000</v>
      </c>
      <c r="L27" s="6" t="n">
        <v>14</v>
      </c>
      <c r="M27" s="6" t="n">
        <v>8</v>
      </c>
      <c r="N27" s="6" t="n">
        <f aca="false">IF(OR(L27="",M27=""),"",L27+M27)</f>
        <v>22</v>
      </c>
      <c r="O27" s="6" t="n">
        <v>426</v>
      </c>
      <c r="P27" s="10" t="n">
        <f aca="false">IF(F27="牡",1,0)+IF(OR(MONTH(H27)=3,MONTH(H27)=4),1,0)+IF(LEFT(I27,4)="ノーザン",1,0)+IF(AND(L27&gt;=8,L27&lt;=11),1,0)+IF(AND(J27&gt;=2500,J27&lt;6000),1,0)+IF(O27&gt;=430,1,0)</f>
        <v>2</v>
      </c>
      <c r="Q27" s="7" t="s">
        <v>30</v>
      </c>
      <c r="R27" s="7" t="s">
        <v>139</v>
      </c>
      <c r="S27" s="6" t="s">
        <v>39</v>
      </c>
      <c r="T27" s="6" t="n">
        <v>155</v>
      </c>
      <c r="U27" s="6" t="n">
        <v>175</v>
      </c>
      <c r="V27" s="6" t="n">
        <v>18.5</v>
      </c>
      <c r="W27" s="12" t="s">
        <v>140</v>
      </c>
    </row>
    <row r="28" customFormat="false" ht="15" hidden="false" customHeight="true" outlineLevel="0" collapsed="false">
      <c r="A28" s="6" t="n">
        <v>27</v>
      </c>
      <c r="B28" s="6" t="s">
        <v>48</v>
      </c>
      <c r="C28" s="7" t="s">
        <v>141</v>
      </c>
      <c r="D28" s="7" t="s">
        <v>142</v>
      </c>
      <c r="E28" s="7" t="s">
        <v>143</v>
      </c>
      <c r="F28" s="7" t="s">
        <v>27</v>
      </c>
      <c r="G28" s="7" t="s">
        <v>59</v>
      </c>
      <c r="H28" s="8" t="n">
        <v>45685</v>
      </c>
      <c r="I28" s="7" t="s">
        <v>29</v>
      </c>
      <c r="J28" s="9" t="n">
        <v>3200</v>
      </c>
      <c r="K28" s="9" t="n">
        <v>80000</v>
      </c>
      <c r="L28" s="6" t="n">
        <v>8</v>
      </c>
      <c r="M28" s="6" t="n">
        <v>2</v>
      </c>
      <c r="N28" s="6" t="n">
        <f aca="false">IF(OR(L28="",M28=""),"",L28+M28)</f>
        <v>10</v>
      </c>
      <c r="O28" s="6" t="n">
        <v>474</v>
      </c>
      <c r="P28" s="10" t="n">
        <f aca="false">IF(F28="牡",1,0)+IF(OR(MONTH(H28)=3,MONTH(H28)=4),1,0)+IF(LEFT(I28,4)="ノーザン",1,0)+IF(AND(L28&gt;=8,L28&lt;=11),1,0)+IF(AND(J28&gt;=2500,J28&lt;6000),1,0)+IF(O28&gt;=430,1,0)</f>
        <v>5</v>
      </c>
      <c r="Q28" s="7" t="s">
        <v>30</v>
      </c>
      <c r="R28" s="7" t="s">
        <v>144</v>
      </c>
      <c r="S28" s="6"/>
      <c r="T28" s="6" t="n">
        <v>153</v>
      </c>
      <c r="U28" s="6" t="n">
        <v>182</v>
      </c>
      <c r="V28" s="6" t="n">
        <v>20.8</v>
      </c>
      <c r="W28" s="11" t="s">
        <v>145</v>
      </c>
    </row>
    <row r="29" customFormat="false" ht="15" hidden="false" customHeight="true" outlineLevel="0" collapsed="false">
      <c r="A29" s="6" t="n">
        <v>28</v>
      </c>
      <c r="B29" s="6" t="s">
        <v>48</v>
      </c>
      <c r="C29" s="7" t="s">
        <v>146</v>
      </c>
      <c r="D29" s="7" t="s">
        <v>142</v>
      </c>
      <c r="E29" s="7" t="s">
        <v>147</v>
      </c>
      <c r="F29" s="7" t="s">
        <v>37</v>
      </c>
      <c r="G29" s="7" t="s">
        <v>28</v>
      </c>
      <c r="H29" s="8" t="n">
        <v>45724</v>
      </c>
      <c r="I29" s="7" t="s">
        <v>29</v>
      </c>
      <c r="J29" s="9" t="n">
        <v>3000</v>
      </c>
      <c r="K29" s="9" t="n">
        <v>75000</v>
      </c>
      <c r="L29" s="6" t="n">
        <v>13</v>
      </c>
      <c r="M29" s="6" t="n">
        <v>7</v>
      </c>
      <c r="N29" s="6" t="n">
        <f aca="false">IF(OR(L29="",M29=""),"",L29+M29)</f>
        <v>20</v>
      </c>
      <c r="O29" s="6" t="n">
        <v>432</v>
      </c>
      <c r="P29" s="10" t="n">
        <f aca="false">IF(F29="牡",1,0)+IF(OR(MONTH(H29)=3,MONTH(H29)=4),1,0)+IF(LEFT(I29,4)="ノーザン",1,0)+IF(AND(L29&gt;=8,L29&lt;=11),1,0)+IF(AND(J29&gt;=2500,J29&lt;6000),1,0)+IF(O29&gt;=430,1,0)</f>
        <v>4</v>
      </c>
      <c r="Q29" s="7" t="s">
        <v>30</v>
      </c>
      <c r="R29" s="7" t="s">
        <v>148</v>
      </c>
      <c r="S29" s="6"/>
      <c r="T29" s="6" t="n">
        <v>155.5</v>
      </c>
      <c r="U29" s="6" t="n">
        <v>175</v>
      </c>
      <c r="V29" s="6" t="n">
        <v>19.9</v>
      </c>
      <c r="W29" s="12" t="s">
        <v>149</v>
      </c>
    </row>
    <row r="30" customFormat="false" ht="15" hidden="false" customHeight="true" outlineLevel="0" collapsed="false">
      <c r="A30" s="6" t="n">
        <v>29</v>
      </c>
      <c r="B30" s="6"/>
      <c r="C30" s="7" t="s">
        <v>150</v>
      </c>
      <c r="D30" s="7" t="s">
        <v>151</v>
      </c>
      <c r="E30" s="6" t="s">
        <v>152</v>
      </c>
      <c r="F30" s="7" t="s">
        <v>27</v>
      </c>
      <c r="G30" s="7" t="s">
        <v>28</v>
      </c>
      <c r="H30" s="8" t="n">
        <v>45743</v>
      </c>
      <c r="I30" s="7" t="s">
        <v>29</v>
      </c>
      <c r="J30" s="9" t="n">
        <v>6000</v>
      </c>
      <c r="K30" s="9" t="n">
        <v>150000</v>
      </c>
      <c r="L30" s="6" t="n">
        <v>9</v>
      </c>
      <c r="M30" s="6" t="n">
        <v>4</v>
      </c>
      <c r="N30" s="6" t="n">
        <f aca="false">IF(OR(L30="",M30=""),"",L30+M30)</f>
        <v>13</v>
      </c>
      <c r="O30" s="6" t="n">
        <v>421</v>
      </c>
      <c r="P30" s="10" t="n">
        <f aca="false">IF(F30="牡",1,0)+IF(OR(MONTH(H30)=3,MONTH(H30)=4),1,0)+IF(LEFT(I30,4)="ノーザン",1,0)+IF(AND(L30&gt;=8,L30&lt;=11),1,0)+IF(AND(J30&gt;=2500,J30&lt;6000),1,0)+IF(O30&gt;=430,1,0)</f>
        <v>4</v>
      </c>
      <c r="Q30" s="7" t="s">
        <v>30</v>
      </c>
      <c r="R30" s="7" t="s">
        <v>153</v>
      </c>
      <c r="S30" s="6"/>
      <c r="T30" s="6" t="n">
        <v>157</v>
      </c>
      <c r="U30" s="6" t="n">
        <v>174</v>
      </c>
      <c r="V30" s="6" t="n">
        <v>20</v>
      </c>
      <c r="W30" s="11" t="s">
        <v>154</v>
      </c>
    </row>
    <row r="31" customFormat="false" ht="15" hidden="false" customHeight="true" outlineLevel="0" collapsed="false">
      <c r="A31" s="6" t="n">
        <v>30</v>
      </c>
      <c r="B31" s="6"/>
      <c r="C31" s="7" t="s">
        <v>155</v>
      </c>
      <c r="D31" s="7" t="s">
        <v>151</v>
      </c>
      <c r="E31" s="7" t="s">
        <v>156</v>
      </c>
      <c r="F31" s="7" t="s">
        <v>37</v>
      </c>
      <c r="G31" s="7" t="s">
        <v>28</v>
      </c>
      <c r="H31" s="8" t="n">
        <v>45714</v>
      </c>
      <c r="I31" s="7" t="s">
        <v>29</v>
      </c>
      <c r="J31" s="9" t="n">
        <v>3600</v>
      </c>
      <c r="K31" s="9" t="n">
        <v>90000</v>
      </c>
      <c r="L31" s="6" t="n">
        <v>7</v>
      </c>
      <c r="M31" s="6" t="n">
        <v>2</v>
      </c>
      <c r="N31" s="6" t="n">
        <f aca="false">IF(OR(L31="",M31=""),"",L31+M31)</f>
        <v>9</v>
      </c>
      <c r="O31" s="6" t="n">
        <v>429</v>
      </c>
      <c r="P31" s="10" t="n">
        <f aca="false">IF(F31="牡",1,0)+IF(OR(MONTH(H31)=3,MONTH(H31)=4),1,0)+IF(LEFT(I31,4)="ノーザン",1,0)+IF(AND(L31&gt;=8,L31&lt;=11),1,0)+IF(AND(J31&gt;=2500,J31&lt;6000),1,0)+IF(O31&gt;=430,1,0)</f>
        <v>2</v>
      </c>
      <c r="Q31" s="7" t="s">
        <v>30</v>
      </c>
      <c r="R31" s="7" t="s">
        <v>157</v>
      </c>
      <c r="S31" s="6"/>
      <c r="T31" s="6" t="n">
        <v>155.5</v>
      </c>
      <c r="U31" s="6" t="n">
        <v>172.5</v>
      </c>
      <c r="V31" s="6" t="n">
        <v>19.3</v>
      </c>
      <c r="W31" s="12" t="s">
        <v>140</v>
      </c>
    </row>
    <row r="32" customFormat="false" ht="15" hidden="false" customHeight="true" outlineLevel="0" collapsed="false">
      <c r="A32" s="6" t="n">
        <v>31</v>
      </c>
      <c r="B32" s="6" t="s">
        <v>48</v>
      </c>
      <c r="C32" s="7" t="s">
        <v>158</v>
      </c>
      <c r="D32" s="7" t="s">
        <v>159</v>
      </c>
      <c r="E32" s="7" t="s">
        <v>54</v>
      </c>
      <c r="F32" s="7" t="s">
        <v>27</v>
      </c>
      <c r="G32" s="7" t="s">
        <v>65</v>
      </c>
      <c r="H32" s="8" t="n">
        <v>45682</v>
      </c>
      <c r="I32" s="7" t="s">
        <v>29</v>
      </c>
      <c r="J32" s="9" t="n">
        <v>6000</v>
      </c>
      <c r="K32" s="9" t="n">
        <v>150000</v>
      </c>
      <c r="L32" s="6" t="n">
        <v>8</v>
      </c>
      <c r="M32" s="6" t="n">
        <v>2</v>
      </c>
      <c r="N32" s="6" t="n">
        <f aca="false">IF(OR(L32="",M32=""),"",L32+M32)</f>
        <v>10</v>
      </c>
      <c r="O32" s="6" t="n">
        <v>422</v>
      </c>
      <c r="P32" s="10" t="n">
        <f aca="false">IF(F32="牡",1,0)+IF(OR(MONTH(H32)=3,MONTH(H32)=4),1,0)+IF(LEFT(I32,4)="ノーザン",1,0)+IF(AND(L32&gt;=8,L32&lt;=11),1,0)+IF(AND(J32&gt;=2500,J32&lt;6000),1,0)+IF(O32&gt;=430,1,0)</f>
        <v>3</v>
      </c>
      <c r="Q32" s="7" t="s">
        <v>30</v>
      </c>
      <c r="R32" s="7" t="s">
        <v>160</v>
      </c>
      <c r="S32" s="6"/>
      <c r="T32" s="6" t="n">
        <v>152</v>
      </c>
      <c r="U32" s="6" t="n">
        <v>171.5</v>
      </c>
      <c r="V32" s="6" t="n">
        <v>20.5</v>
      </c>
      <c r="W32" s="11" t="s">
        <v>161</v>
      </c>
    </row>
    <row r="33" customFormat="false" ht="15" hidden="false" customHeight="true" outlineLevel="0" collapsed="false">
      <c r="A33" s="6" t="n">
        <v>32</v>
      </c>
      <c r="B33" s="6"/>
      <c r="C33" s="7" t="s">
        <v>162</v>
      </c>
      <c r="D33" s="7" t="s">
        <v>163</v>
      </c>
      <c r="E33" s="7" t="s">
        <v>164</v>
      </c>
      <c r="F33" s="7" t="s">
        <v>27</v>
      </c>
      <c r="G33" s="7" t="s">
        <v>28</v>
      </c>
      <c r="H33" s="8" t="n">
        <v>45743</v>
      </c>
      <c r="I33" s="7" t="s">
        <v>29</v>
      </c>
      <c r="J33" s="9" t="n">
        <v>2800</v>
      </c>
      <c r="K33" s="9" t="n">
        <v>70000</v>
      </c>
      <c r="L33" s="6" t="n">
        <v>19</v>
      </c>
      <c r="M33" s="6" t="n">
        <v>11</v>
      </c>
      <c r="N33" s="6" t="n">
        <f aca="false">IF(OR(L33="",M33=""),"",L33+M33)</f>
        <v>30</v>
      </c>
      <c r="O33" s="6" t="n">
        <v>407</v>
      </c>
      <c r="P33" s="10" t="n">
        <f aca="false">IF(F33="牡",1,0)+IF(OR(MONTH(H33)=3,MONTH(H33)=4),1,0)+IF(LEFT(I33,4)="ノーザン",1,0)+IF(AND(L33&gt;=8,L33&lt;=11),1,0)+IF(AND(J33&gt;=2500,J33&lt;6000),1,0)+IF(O33&gt;=430,1,0)</f>
        <v>4</v>
      </c>
      <c r="Q33" s="7" t="s">
        <v>30</v>
      </c>
      <c r="R33" s="7" t="s">
        <v>165</v>
      </c>
      <c r="S33" s="6"/>
      <c r="T33" s="6" t="n">
        <v>150</v>
      </c>
      <c r="U33" s="6" t="n">
        <v>170.5</v>
      </c>
      <c r="V33" s="6" t="n">
        <v>19.7</v>
      </c>
      <c r="W33" s="11" t="s">
        <v>166</v>
      </c>
    </row>
    <row r="34" customFormat="false" ht="15" hidden="false" customHeight="true" outlineLevel="0" collapsed="false">
      <c r="A34" s="6" t="n">
        <v>33</v>
      </c>
      <c r="B34" s="6" t="s">
        <v>48</v>
      </c>
      <c r="C34" s="7" t="s">
        <v>167</v>
      </c>
      <c r="D34" s="7" t="s">
        <v>168</v>
      </c>
      <c r="E34" s="7" t="s">
        <v>54</v>
      </c>
      <c r="F34" s="7" t="s">
        <v>27</v>
      </c>
      <c r="G34" s="7" t="s">
        <v>59</v>
      </c>
      <c r="H34" s="8" t="n">
        <v>45698</v>
      </c>
      <c r="I34" s="7" t="s">
        <v>29</v>
      </c>
      <c r="J34" s="9" t="n">
        <v>6000</v>
      </c>
      <c r="K34" s="9" t="n">
        <v>150000</v>
      </c>
      <c r="L34" s="6" t="n">
        <v>13</v>
      </c>
      <c r="M34" s="6" t="n">
        <v>7</v>
      </c>
      <c r="N34" s="6" t="n">
        <f aca="false">IF(OR(L34="",M34=""),"",L34+M34)</f>
        <v>20</v>
      </c>
      <c r="O34" s="6" t="n">
        <v>487</v>
      </c>
      <c r="P34" s="10" t="n">
        <f aca="false">IF(F34="牡",1,0)+IF(OR(MONTH(H34)=3,MONTH(H34)=4),1,0)+IF(LEFT(I34,4)="ノーザン",1,0)+IF(AND(L34&gt;=8,L34&lt;=11),1,0)+IF(AND(J34&gt;=2500,J34&lt;6000),1,0)+IF(O34&gt;=430,1,0)</f>
        <v>3</v>
      </c>
      <c r="Q34" s="7" t="s">
        <v>30</v>
      </c>
      <c r="R34" s="7" t="s">
        <v>60</v>
      </c>
      <c r="S34" s="6"/>
      <c r="T34" s="6" t="n">
        <v>160</v>
      </c>
      <c r="U34" s="6" t="n">
        <v>180</v>
      </c>
      <c r="V34" s="6" t="n">
        <v>21</v>
      </c>
      <c r="W34" s="11" t="s">
        <v>169</v>
      </c>
    </row>
    <row r="35" customFormat="false" ht="15" hidden="false" customHeight="true" outlineLevel="0" collapsed="false">
      <c r="A35" s="6" t="n">
        <v>34</v>
      </c>
      <c r="B35" s="6" t="s">
        <v>48</v>
      </c>
      <c r="C35" s="7" t="s">
        <v>170</v>
      </c>
      <c r="D35" s="7" t="s">
        <v>171</v>
      </c>
      <c r="E35" s="7" t="s">
        <v>172</v>
      </c>
      <c r="F35" s="7" t="s">
        <v>37</v>
      </c>
      <c r="G35" s="7" t="s">
        <v>59</v>
      </c>
      <c r="H35" s="8" t="n">
        <v>45717</v>
      </c>
      <c r="I35" s="7" t="s">
        <v>29</v>
      </c>
      <c r="J35" s="9" t="n">
        <v>2400</v>
      </c>
      <c r="K35" s="9" t="n">
        <v>60000</v>
      </c>
      <c r="L35" s="6" t="n">
        <v>6</v>
      </c>
      <c r="M35" s="6" t="n">
        <v>1</v>
      </c>
      <c r="N35" s="6" t="n">
        <f aca="false">IF(OR(L35="",M35=""),"",L35+M35)</f>
        <v>7</v>
      </c>
      <c r="O35" s="6" t="n">
        <v>420</v>
      </c>
      <c r="P35" s="10" t="n">
        <f aca="false">IF(F35="牡",1,0)+IF(OR(MONTH(H35)=3,MONTH(H35)=4),1,0)+IF(LEFT(I35,4)="ノーザン",1,0)+IF(AND(L35&gt;=8,L35&lt;=11),1,0)+IF(AND(J35&gt;=2500,J35&lt;6000),1,0)+IF(O35&gt;=430,1,0)</f>
        <v>2</v>
      </c>
      <c r="Q35" s="7" t="s">
        <v>30</v>
      </c>
      <c r="R35" s="7" t="s">
        <v>173</v>
      </c>
      <c r="S35" s="6"/>
      <c r="T35" s="6" t="n">
        <v>153</v>
      </c>
      <c r="U35" s="6" t="n">
        <v>172.5</v>
      </c>
      <c r="V35" s="6" t="n">
        <v>19.7</v>
      </c>
      <c r="W35" s="12" t="s">
        <v>174</v>
      </c>
    </row>
    <row r="36" customFormat="false" ht="15" hidden="false" customHeight="true" outlineLevel="0" collapsed="false">
      <c r="A36" s="6" t="n">
        <v>35</v>
      </c>
      <c r="B36" s="6"/>
      <c r="C36" s="7" t="s">
        <v>175</v>
      </c>
      <c r="D36" s="7" t="s">
        <v>176</v>
      </c>
      <c r="E36" s="6" t="s">
        <v>177</v>
      </c>
      <c r="F36" s="7" t="s">
        <v>37</v>
      </c>
      <c r="G36" s="7" t="s">
        <v>28</v>
      </c>
      <c r="H36" s="8" t="n">
        <v>45700</v>
      </c>
      <c r="I36" s="7" t="s">
        <v>178</v>
      </c>
      <c r="J36" s="9" t="n">
        <v>3000</v>
      </c>
      <c r="K36" s="9" t="n">
        <v>75000</v>
      </c>
      <c r="L36" s="6" t="n">
        <v>14</v>
      </c>
      <c r="M36" s="6" t="n">
        <v>5</v>
      </c>
      <c r="N36" s="6" t="n">
        <f aca="false">IF(OR(L36="",M36=""),"",L36+M36)</f>
        <v>19</v>
      </c>
      <c r="O36" s="6" t="n">
        <v>425</v>
      </c>
      <c r="P36" s="10" t="n">
        <f aca="false">IF(F36="牡",1,0)+IF(OR(MONTH(H36)=3,MONTH(H36)=4),1,0)+IF(LEFT(I36,4)="ノーザン",1,0)+IF(AND(L36&gt;=8,L36&lt;=11),1,0)+IF(AND(J36&gt;=2500,J36&lt;6000),1,0)+IF(O36&gt;=430,1,0)</f>
        <v>1</v>
      </c>
      <c r="Q36" s="7" t="s">
        <v>30</v>
      </c>
      <c r="R36" s="7" t="s">
        <v>179</v>
      </c>
      <c r="S36" s="6"/>
      <c r="T36" s="6" t="n">
        <v>158</v>
      </c>
      <c r="U36" s="6" t="n">
        <v>173.5</v>
      </c>
      <c r="V36" s="6" t="n">
        <v>19.5</v>
      </c>
      <c r="W36" s="11" t="s">
        <v>180</v>
      </c>
    </row>
    <row r="37" customFormat="false" ht="15" hidden="false" customHeight="true" outlineLevel="0" collapsed="false">
      <c r="A37" s="6" t="n">
        <v>36</v>
      </c>
      <c r="B37" s="6" t="s">
        <v>48</v>
      </c>
      <c r="C37" s="7" t="s">
        <v>181</v>
      </c>
      <c r="D37" s="7" t="s">
        <v>182</v>
      </c>
      <c r="E37" s="7" t="s">
        <v>89</v>
      </c>
      <c r="F37" s="7" t="s">
        <v>37</v>
      </c>
      <c r="G37" s="7" t="s">
        <v>96</v>
      </c>
      <c r="H37" s="8" t="n">
        <v>45666</v>
      </c>
      <c r="I37" s="7" t="s">
        <v>29</v>
      </c>
      <c r="J37" s="9" t="n">
        <v>3600</v>
      </c>
      <c r="K37" s="9" t="n">
        <v>90000</v>
      </c>
      <c r="L37" s="6" t="n">
        <v>8</v>
      </c>
      <c r="M37" s="6" t="n">
        <v>2</v>
      </c>
      <c r="N37" s="6" t="n">
        <f aca="false">IF(OR(L37="",M37=""),"",L37+M37)</f>
        <v>10</v>
      </c>
      <c r="O37" s="6" t="n">
        <v>489</v>
      </c>
      <c r="P37" s="10" t="n">
        <f aca="false">IF(F37="牡",1,0)+IF(OR(MONTH(H37)=3,MONTH(H37)=4),1,0)+IF(LEFT(I37,4)="ノーザン",1,0)+IF(AND(L37&gt;=8,L37&lt;=11),1,0)+IF(AND(J37&gt;=2500,J37&lt;6000),1,0)+IF(O37&gt;=430,1,0)</f>
        <v>4</v>
      </c>
      <c r="Q37" s="7" t="s">
        <v>30</v>
      </c>
      <c r="R37" s="7" t="s">
        <v>183</v>
      </c>
      <c r="S37" s="6" t="s">
        <v>32</v>
      </c>
      <c r="T37" s="6" t="n">
        <v>155</v>
      </c>
      <c r="U37" s="6" t="n">
        <v>184.5</v>
      </c>
      <c r="V37" s="6" t="n">
        <v>20.5</v>
      </c>
      <c r="W37" s="12" t="s">
        <v>184</v>
      </c>
    </row>
    <row r="38" customFormat="false" ht="15" hidden="false" customHeight="true" outlineLevel="0" collapsed="false">
      <c r="A38" s="6" t="n">
        <v>37</v>
      </c>
      <c r="B38" s="6" t="s">
        <v>48</v>
      </c>
      <c r="C38" s="7" t="s">
        <v>185</v>
      </c>
      <c r="D38" s="7" t="s">
        <v>186</v>
      </c>
      <c r="E38" s="7" t="s">
        <v>164</v>
      </c>
      <c r="F38" s="7" t="s">
        <v>37</v>
      </c>
      <c r="G38" s="7" t="s">
        <v>65</v>
      </c>
      <c r="H38" s="8" t="n">
        <v>45757</v>
      </c>
      <c r="I38" s="7" t="s">
        <v>29</v>
      </c>
      <c r="J38" s="9" t="n">
        <v>2000</v>
      </c>
      <c r="K38" s="9" t="n">
        <v>50000</v>
      </c>
      <c r="L38" s="6" t="n">
        <v>19</v>
      </c>
      <c r="M38" s="6" t="n">
        <v>9</v>
      </c>
      <c r="N38" s="6" t="n">
        <f aca="false">IF(OR(L38="",M38=""),"",L38+M38)</f>
        <v>28</v>
      </c>
      <c r="O38" s="6" t="n">
        <v>400</v>
      </c>
      <c r="P38" s="10" t="n">
        <f aca="false">IF(F38="牡",1,0)+IF(OR(MONTH(H38)=3,MONTH(H38)=4),1,0)+IF(LEFT(I38,4)="ノーザン",1,0)+IF(AND(L38&gt;=8,L38&lt;=11),1,0)+IF(AND(J38&gt;=2500,J38&lt;6000),1,0)+IF(O38&gt;=430,1,0)</f>
        <v>2</v>
      </c>
      <c r="Q38" s="7" t="s">
        <v>30</v>
      </c>
      <c r="R38" s="7" t="s">
        <v>187</v>
      </c>
      <c r="S38" s="6"/>
      <c r="T38" s="6" t="n">
        <v>150.5</v>
      </c>
      <c r="U38" s="6" t="n">
        <v>170</v>
      </c>
      <c r="V38" s="6" t="n">
        <v>18.6</v>
      </c>
      <c r="W38" s="12" t="s">
        <v>188</v>
      </c>
    </row>
    <row r="39" customFormat="false" ht="15" hidden="false" customHeight="true" outlineLevel="0" collapsed="false">
      <c r="A39" s="6" t="n">
        <v>38</v>
      </c>
      <c r="B39" s="6"/>
      <c r="C39" s="7" t="s">
        <v>189</v>
      </c>
      <c r="D39" s="7" t="s">
        <v>190</v>
      </c>
      <c r="E39" s="7" t="s">
        <v>54</v>
      </c>
      <c r="F39" s="7" t="s">
        <v>37</v>
      </c>
      <c r="G39" s="7" t="s">
        <v>65</v>
      </c>
      <c r="H39" s="8" t="n">
        <v>45743</v>
      </c>
      <c r="I39" s="7" t="s">
        <v>29</v>
      </c>
      <c r="J39" s="9" t="n">
        <v>2000</v>
      </c>
      <c r="K39" s="9" t="n">
        <v>50000</v>
      </c>
      <c r="L39" s="6" t="n">
        <v>6</v>
      </c>
      <c r="M39" s="6" t="n">
        <v>1</v>
      </c>
      <c r="N39" s="6" t="n">
        <f aca="false">IF(OR(L39="",M39=""),"",L39+M39)</f>
        <v>7</v>
      </c>
      <c r="O39" s="6" t="n">
        <v>414</v>
      </c>
      <c r="P39" s="10" t="n">
        <f aca="false">IF(F39="牡",1,0)+IF(OR(MONTH(H39)=3,MONTH(H39)=4),1,0)+IF(LEFT(I39,4)="ノーザン",1,0)+IF(AND(L39&gt;=8,L39&lt;=11),1,0)+IF(AND(J39&gt;=2500,J39&lt;6000),1,0)+IF(O39&gt;=430,1,0)</f>
        <v>2</v>
      </c>
      <c r="Q39" s="7" t="s">
        <v>30</v>
      </c>
      <c r="R39" s="7" t="s">
        <v>191</v>
      </c>
      <c r="S39" s="6"/>
      <c r="T39" s="6" t="n">
        <v>153</v>
      </c>
      <c r="U39" s="6" t="n">
        <v>170</v>
      </c>
      <c r="V39" s="6" t="n">
        <v>19</v>
      </c>
      <c r="W39" s="12" t="s">
        <v>174</v>
      </c>
    </row>
    <row r="40" customFormat="false" ht="15" hidden="false" customHeight="true" outlineLevel="0" collapsed="false">
      <c r="A40" s="6" t="n">
        <v>39</v>
      </c>
      <c r="B40" s="6" t="s">
        <v>48</v>
      </c>
      <c r="C40" s="7" t="s">
        <v>192</v>
      </c>
      <c r="D40" s="7" t="s">
        <v>193</v>
      </c>
      <c r="E40" s="7" t="s">
        <v>194</v>
      </c>
      <c r="F40" s="7" t="s">
        <v>37</v>
      </c>
      <c r="G40" s="7" t="s">
        <v>65</v>
      </c>
      <c r="H40" s="8" t="n">
        <v>45675</v>
      </c>
      <c r="I40" s="7" t="s">
        <v>195</v>
      </c>
      <c r="J40" s="9" t="n">
        <v>1800</v>
      </c>
      <c r="K40" s="9" t="n">
        <v>45000</v>
      </c>
      <c r="L40" s="6" t="n">
        <v>8</v>
      </c>
      <c r="M40" s="6" t="n">
        <v>5</v>
      </c>
      <c r="N40" s="6" t="n">
        <f aca="false">IF(OR(L40="",M40=""),"",L40+M40)</f>
        <v>13</v>
      </c>
      <c r="O40" s="6" t="n">
        <v>457</v>
      </c>
      <c r="P40" s="10" t="n">
        <f aca="false">IF(F40="牡",1,0)+IF(OR(MONTH(H40)=3,MONTH(H40)=4),1,0)+IF(LEFT(I40,4)="ノーザン",1,0)+IF(AND(L40&gt;=8,L40&lt;=11),1,0)+IF(AND(J40&gt;=2500,J40&lt;6000),1,0)+IF(O40&gt;=430,1,0)</f>
        <v>2</v>
      </c>
      <c r="Q40" s="7" t="s">
        <v>30</v>
      </c>
      <c r="R40" s="7" t="s">
        <v>191</v>
      </c>
      <c r="S40" s="6"/>
      <c r="T40" s="6" t="n">
        <v>155.5</v>
      </c>
      <c r="U40" s="6" t="n">
        <v>172</v>
      </c>
      <c r="V40" s="6" t="n">
        <v>19.8</v>
      </c>
      <c r="W40" s="11" t="s">
        <v>196</v>
      </c>
    </row>
    <row r="41" customFormat="false" ht="15" hidden="false" customHeight="true" outlineLevel="0" collapsed="false">
      <c r="A41" s="6" t="n">
        <v>40</v>
      </c>
      <c r="B41" s="6" t="s">
        <v>48</v>
      </c>
      <c r="C41" s="7" t="s">
        <v>197</v>
      </c>
      <c r="D41" s="7" t="s">
        <v>198</v>
      </c>
      <c r="E41" s="7" t="s">
        <v>54</v>
      </c>
      <c r="F41" s="7" t="s">
        <v>27</v>
      </c>
      <c r="G41" s="7" t="s">
        <v>28</v>
      </c>
      <c r="H41" s="8" t="n">
        <v>45679</v>
      </c>
      <c r="I41" s="7" t="s">
        <v>29</v>
      </c>
      <c r="J41" s="9" t="n">
        <v>3200</v>
      </c>
      <c r="K41" s="9" t="n">
        <v>80000</v>
      </c>
      <c r="L41" s="6" t="n">
        <v>7</v>
      </c>
      <c r="M41" s="6" t="n">
        <v>1</v>
      </c>
      <c r="N41" s="6" t="n">
        <f aca="false">IF(OR(L41="",M41=""),"",L41+M41)</f>
        <v>8</v>
      </c>
      <c r="O41" s="6" t="n">
        <v>456</v>
      </c>
      <c r="P41" s="10" t="n">
        <f aca="false">IF(F41="牡",1,0)+IF(OR(MONTH(H41)=3,MONTH(H41)=4),1,0)+IF(LEFT(I41,4)="ノーザン",1,0)+IF(AND(L41&gt;=8,L41&lt;=11),1,0)+IF(AND(J41&gt;=2500,J41&lt;6000),1,0)+IF(O41&gt;=430,1,0)</f>
        <v>4</v>
      </c>
      <c r="Q41" s="7" t="s">
        <v>30</v>
      </c>
      <c r="R41" s="7" t="s">
        <v>199</v>
      </c>
      <c r="S41" s="6"/>
      <c r="T41" s="6" t="n">
        <v>154.5</v>
      </c>
      <c r="U41" s="6" t="n">
        <v>172</v>
      </c>
      <c r="V41" s="6" t="n">
        <v>20.5</v>
      </c>
      <c r="W41" s="11" t="s">
        <v>200</v>
      </c>
    </row>
    <row r="42" customFormat="false" ht="15" hidden="false" customHeight="true" outlineLevel="0" collapsed="false">
      <c r="A42" s="6" t="n">
        <v>41</v>
      </c>
      <c r="B42" s="6" t="s">
        <v>48</v>
      </c>
      <c r="C42" s="7" t="s">
        <v>201</v>
      </c>
      <c r="D42" s="7" t="s">
        <v>172</v>
      </c>
      <c r="E42" s="7" t="s">
        <v>202</v>
      </c>
      <c r="F42" s="7" t="s">
        <v>37</v>
      </c>
      <c r="G42" s="7" t="s">
        <v>44</v>
      </c>
      <c r="H42" s="8" t="n">
        <v>45725</v>
      </c>
      <c r="I42" s="7" t="s">
        <v>29</v>
      </c>
      <c r="J42" s="9" t="n">
        <v>2800</v>
      </c>
      <c r="K42" s="9" t="n">
        <v>70000</v>
      </c>
      <c r="L42" s="6" t="n">
        <v>11</v>
      </c>
      <c r="M42" s="6" t="n">
        <v>3</v>
      </c>
      <c r="N42" s="6" t="n">
        <f aca="false">IF(OR(L42="",M42=""),"",L42+M42)</f>
        <v>14</v>
      </c>
      <c r="O42" s="6" t="n">
        <v>440</v>
      </c>
      <c r="P42" s="10" t="n">
        <f aca="false">IF(F42="牡",1,0)+IF(OR(MONTH(H42)=3,MONTH(H42)=4),1,0)+IF(LEFT(I42,4)="ノーザン",1,0)+IF(AND(L42&gt;=8,L42&lt;=11),1,0)+IF(AND(J42&gt;=2500,J42&lt;6000),1,0)+IF(O42&gt;=430,1,0)</f>
        <v>5</v>
      </c>
      <c r="Q42" s="7" t="s">
        <v>30</v>
      </c>
      <c r="R42" s="7" t="s">
        <v>203</v>
      </c>
      <c r="S42" s="6"/>
      <c r="T42" s="6" t="n">
        <v>155</v>
      </c>
      <c r="U42" s="6" t="n">
        <v>178</v>
      </c>
      <c r="V42" s="6" t="n">
        <v>19.1</v>
      </c>
      <c r="W42" s="12" t="s">
        <v>204</v>
      </c>
    </row>
    <row r="43" customFormat="false" ht="15" hidden="false" customHeight="true" outlineLevel="0" collapsed="false">
      <c r="A43" s="6" t="n">
        <v>42</v>
      </c>
      <c r="B43" s="6"/>
      <c r="C43" s="7" t="s">
        <v>205</v>
      </c>
      <c r="D43" s="7" t="s">
        <v>206</v>
      </c>
      <c r="E43" s="7" t="s">
        <v>207</v>
      </c>
      <c r="F43" s="7" t="s">
        <v>27</v>
      </c>
      <c r="G43" s="7" t="s">
        <v>28</v>
      </c>
      <c r="H43" s="8" t="n">
        <v>45753</v>
      </c>
      <c r="I43" s="7" t="s">
        <v>29</v>
      </c>
      <c r="J43" s="9" t="n">
        <v>6000</v>
      </c>
      <c r="K43" s="9" t="n">
        <v>150000</v>
      </c>
      <c r="L43" s="6" t="n">
        <v>16</v>
      </c>
      <c r="M43" s="6" t="n">
        <v>7</v>
      </c>
      <c r="N43" s="6" t="n">
        <f aca="false">IF(OR(L43="",M43=""),"",L43+M43)</f>
        <v>23</v>
      </c>
      <c r="O43" s="6" t="n">
        <v>438</v>
      </c>
      <c r="P43" s="10" t="n">
        <f aca="false">IF(F43="牡",1,0)+IF(OR(MONTH(H43)=3,MONTH(H43)=4),1,0)+IF(LEFT(I43,4)="ノーザン",1,0)+IF(AND(L43&gt;=8,L43&lt;=11),1,0)+IF(AND(J43&gt;=2500,J43&lt;6000),1,0)+IF(O43&gt;=430,1,0)</f>
        <v>4</v>
      </c>
      <c r="Q43" s="7" t="s">
        <v>30</v>
      </c>
      <c r="R43" s="7" t="s">
        <v>38</v>
      </c>
      <c r="S43" s="6" t="s">
        <v>39</v>
      </c>
      <c r="T43" s="6" t="n">
        <v>152</v>
      </c>
      <c r="U43" s="6" t="n">
        <v>173</v>
      </c>
      <c r="V43" s="6" t="n">
        <v>20.5</v>
      </c>
      <c r="W43" s="11" t="s">
        <v>208</v>
      </c>
    </row>
    <row r="44" customFormat="false" ht="15" hidden="false" customHeight="true" outlineLevel="0" collapsed="false">
      <c r="A44" s="6" t="n">
        <v>43</v>
      </c>
      <c r="B44" s="6"/>
      <c r="C44" s="7" t="s">
        <v>209</v>
      </c>
      <c r="D44" s="6" t="s">
        <v>210</v>
      </c>
      <c r="E44" s="6" t="s">
        <v>211</v>
      </c>
      <c r="F44" s="7" t="s">
        <v>27</v>
      </c>
      <c r="G44" s="7" t="s">
        <v>59</v>
      </c>
      <c r="H44" s="8" t="n">
        <v>45765</v>
      </c>
      <c r="I44" s="7" t="s">
        <v>195</v>
      </c>
      <c r="J44" s="9" t="n">
        <v>3600</v>
      </c>
      <c r="K44" s="9" t="n">
        <v>90000</v>
      </c>
      <c r="L44" s="6" t="n">
        <v>8</v>
      </c>
      <c r="M44" s="6"/>
      <c r="N44" s="6" t="str">
        <f aca="false">IF(OR(L44="",M44=""),"",L44+M44)</f>
        <v/>
      </c>
      <c r="O44" s="6" t="n">
        <v>412</v>
      </c>
      <c r="P44" s="10" t="n">
        <f aca="false">IF(F44="牡",1,0)+IF(OR(MONTH(H44)=3,MONTH(H44)=4),1,0)+IF(LEFT(I44,4)="ノーザン",1,0)+IF(AND(L44&gt;=8,L44&lt;=11),1,0)+IF(AND(J44&gt;=2500,J44&lt;6000),1,0)+IF(O44&gt;=430,1,0)</f>
        <v>4</v>
      </c>
      <c r="Q44" s="7" t="s">
        <v>30</v>
      </c>
      <c r="R44" s="7" t="s">
        <v>109</v>
      </c>
      <c r="S44" s="6"/>
      <c r="T44" s="6" t="n">
        <v>150</v>
      </c>
      <c r="U44" s="6" t="n">
        <v>166</v>
      </c>
      <c r="V44" s="6" t="n">
        <v>19.8</v>
      </c>
      <c r="W44" s="11" t="s">
        <v>212</v>
      </c>
    </row>
    <row r="45" customFormat="false" ht="15" hidden="false" customHeight="true" outlineLevel="0" collapsed="false">
      <c r="A45" s="6" t="n">
        <v>44</v>
      </c>
      <c r="B45" s="6"/>
      <c r="C45" s="7" t="s">
        <v>213</v>
      </c>
      <c r="D45" s="6" t="s">
        <v>214</v>
      </c>
      <c r="E45" s="6" t="s">
        <v>215</v>
      </c>
      <c r="F45" s="7" t="s">
        <v>27</v>
      </c>
      <c r="G45" s="7" t="s">
        <v>28</v>
      </c>
      <c r="H45" s="8" t="n">
        <v>45697</v>
      </c>
      <c r="I45" s="7" t="s">
        <v>29</v>
      </c>
      <c r="J45" s="9" t="n">
        <v>10000</v>
      </c>
      <c r="K45" s="9" t="n">
        <v>250000</v>
      </c>
      <c r="L45" s="6" t="n">
        <v>6</v>
      </c>
      <c r="M45" s="6" t="n">
        <v>1</v>
      </c>
      <c r="N45" s="6" t="n">
        <f aca="false">IF(OR(L45="",M45=""),"",L45+M45)</f>
        <v>7</v>
      </c>
      <c r="O45" s="6" t="n">
        <v>445</v>
      </c>
      <c r="P45" s="10" t="n">
        <f aca="false">IF(F45="牡",1,0)+IF(OR(MONTH(H45)=3,MONTH(H45)=4),1,0)+IF(LEFT(I45,4)="ノーザン",1,0)+IF(AND(L45&gt;=8,L45&lt;=11),1,0)+IF(AND(J45&gt;=2500,J45&lt;6000),1,0)+IF(O45&gt;=430,1,0)</f>
        <v>3</v>
      </c>
      <c r="Q45" s="7" t="s">
        <v>30</v>
      </c>
      <c r="R45" s="7" t="s">
        <v>216</v>
      </c>
      <c r="S45" s="6" t="s">
        <v>32</v>
      </c>
      <c r="T45" s="6" t="n">
        <v>154.5</v>
      </c>
      <c r="U45" s="6" t="n">
        <v>172</v>
      </c>
      <c r="V45" s="6" t="n">
        <v>19.5</v>
      </c>
      <c r="W45" s="11" t="s">
        <v>217</v>
      </c>
    </row>
    <row r="46" customFormat="false" ht="15" hidden="false" customHeight="true" outlineLevel="0" collapsed="false">
      <c r="A46" s="6" t="n">
        <v>45</v>
      </c>
      <c r="B46" s="6"/>
      <c r="C46" s="7" t="s">
        <v>218</v>
      </c>
      <c r="D46" s="7" t="s">
        <v>25</v>
      </c>
      <c r="E46" s="6" t="s">
        <v>219</v>
      </c>
      <c r="F46" s="7" t="s">
        <v>27</v>
      </c>
      <c r="G46" s="7" t="s">
        <v>65</v>
      </c>
      <c r="H46" s="8" t="n">
        <v>45778</v>
      </c>
      <c r="I46" s="7" t="s">
        <v>29</v>
      </c>
      <c r="J46" s="9" t="n">
        <v>8000</v>
      </c>
      <c r="K46" s="9" t="n">
        <v>200000</v>
      </c>
      <c r="L46" s="6" t="n">
        <v>14</v>
      </c>
      <c r="M46" s="6" t="n">
        <v>6</v>
      </c>
      <c r="N46" s="6" t="n">
        <f aca="false">IF(OR(L46="",M46=""),"",L46+M46)</f>
        <v>20</v>
      </c>
      <c r="O46" s="6" t="n">
        <v>410</v>
      </c>
      <c r="P46" s="10" t="n">
        <f aca="false">IF(F46="牡",1,0)+IF(OR(MONTH(H46)=3,MONTH(H46)=4),1,0)+IF(LEFT(I46,4)="ノーザン",1,0)+IF(AND(L46&gt;=8,L46&lt;=11),1,0)+IF(AND(J46&gt;=2500,J46&lt;6000),1,0)+IF(O46&gt;=430,1,0)</f>
        <v>2</v>
      </c>
      <c r="Q46" s="7" t="s">
        <v>220</v>
      </c>
      <c r="R46" s="7" t="s">
        <v>221</v>
      </c>
      <c r="S46" s="6"/>
      <c r="T46" s="6" t="n">
        <v>158</v>
      </c>
      <c r="U46" s="6" t="n">
        <v>171.5</v>
      </c>
      <c r="V46" s="6" t="n">
        <v>20.6</v>
      </c>
      <c r="W46" s="11" t="s">
        <v>222</v>
      </c>
    </row>
    <row r="47" customFormat="false" ht="15" hidden="false" customHeight="true" outlineLevel="0" collapsed="false">
      <c r="A47" s="6" t="n">
        <v>46</v>
      </c>
      <c r="B47" s="6" t="s">
        <v>48</v>
      </c>
      <c r="C47" s="7" t="s">
        <v>223</v>
      </c>
      <c r="D47" s="7" t="s">
        <v>25</v>
      </c>
      <c r="E47" s="7" t="s">
        <v>51</v>
      </c>
      <c r="F47" s="7" t="s">
        <v>37</v>
      </c>
      <c r="G47" s="7" t="s">
        <v>28</v>
      </c>
      <c r="H47" s="8" t="n">
        <v>45745</v>
      </c>
      <c r="I47" s="7" t="s">
        <v>29</v>
      </c>
      <c r="J47" s="9" t="n">
        <v>8000</v>
      </c>
      <c r="K47" s="9" t="n">
        <v>200000</v>
      </c>
      <c r="L47" s="6" t="n">
        <v>8</v>
      </c>
      <c r="M47" s="6" t="n">
        <v>2</v>
      </c>
      <c r="N47" s="6" t="n">
        <f aca="false">IF(OR(L47="",M47=""),"",L47+M47)</f>
        <v>10</v>
      </c>
      <c r="O47" s="6" t="n">
        <v>393</v>
      </c>
      <c r="P47" s="10" t="n">
        <f aca="false">IF(F47="牡",1,0)+IF(OR(MONTH(H47)=3,MONTH(H47)=4),1,0)+IF(LEFT(I47,4)="ノーザン",1,0)+IF(AND(L47&gt;=8,L47&lt;=11),1,0)+IF(AND(J47&gt;=2500,J47&lt;6000),1,0)+IF(O47&gt;=430,1,0)</f>
        <v>3</v>
      </c>
      <c r="Q47" s="7" t="s">
        <v>220</v>
      </c>
      <c r="R47" s="7" t="s">
        <v>224</v>
      </c>
      <c r="S47" s="6"/>
      <c r="T47" s="6" t="n">
        <v>155</v>
      </c>
      <c r="U47" s="6" t="n">
        <v>174.5</v>
      </c>
      <c r="V47" s="6" t="n">
        <v>19.2</v>
      </c>
      <c r="W47" s="12" t="s">
        <v>225</v>
      </c>
    </row>
    <row r="48" customFormat="false" ht="15" hidden="false" customHeight="true" outlineLevel="0" collapsed="false">
      <c r="A48" s="6" t="n">
        <v>47</v>
      </c>
      <c r="B48" s="6" t="s">
        <v>48</v>
      </c>
      <c r="C48" s="7" t="s">
        <v>226</v>
      </c>
      <c r="D48" s="7" t="s">
        <v>25</v>
      </c>
      <c r="E48" s="7" t="s">
        <v>227</v>
      </c>
      <c r="F48" s="7" t="s">
        <v>37</v>
      </c>
      <c r="G48" s="7" t="s">
        <v>96</v>
      </c>
      <c r="H48" s="8" t="n">
        <v>45771</v>
      </c>
      <c r="I48" s="7" t="s">
        <v>29</v>
      </c>
      <c r="J48" s="9" t="n">
        <v>8000</v>
      </c>
      <c r="K48" s="9" t="n">
        <v>200000</v>
      </c>
      <c r="L48" s="6" t="n">
        <v>11</v>
      </c>
      <c r="M48" s="6" t="n">
        <v>4</v>
      </c>
      <c r="N48" s="6" t="n">
        <f aca="false">IF(OR(L48="",M48=""),"",L48+M48)</f>
        <v>15</v>
      </c>
      <c r="O48" s="6" t="n">
        <v>452</v>
      </c>
      <c r="P48" s="10" t="n">
        <f aca="false">IF(F48="牡",1,0)+IF(OR(MONTH(H48)=3,MONTH(H48)=4),1,0)+IF(LEFT(I48,4)="ノーザン",1,0)+IF(AND(L48&gt;=8,L48&lt;=11),1,0)+IF(AND(J48&gt;=2500,J48&lt;6000),1,0)+IF(O48&gt;=430,1,0)</f>
        <v>4</v>
      </c>
      <c r="Q48" s="7" t="s">
        <v>220</v>
      </c>
      <c r="R48" s="7" t="s">
        <v>228</v>
      </c>
      <c r="S48" s="6"/>
      <c r="T48" s="6" t="n">
        <v>153.5</v>
      </c>
      <c r="U48" s="6" t="n">
        <v>176</v>
      </c>
      <c r="V48" s="6" t="n">
        <v>20.2</v>
      </c>
      <c r="W48" s="12" t="s">
        <v>229</v>
      </c>
    </row>
    <row r="49" customFormat="false" ht="15" hidden="false" customHeight="true" outlineLevel="0" collapsed="false">
      <c r="A49" s="6" t="n">
        <v>48</v>
      </c>
      <c r="B49" s="6" t="s">
        <v>48</v>
      </c>
      <c r="C49" s="7" t="s">
        <v>230</v>
      </c>
      <c r="D49" s="7" t="s">
        <v>231</v>
      </c>
      <c r="E49" s="7" t="s">
        <v>232</v>
      </c>
      <c r="F49" s="7" t="s">
        <v>27</v>
      </c>
      <c r="G49" s="7" t="s">
        <v>28</v>
      </c>
      <c r="H49" s="8" t="n">
        <v>45707</v>
      </c>
      <c r="I49" s="7" t="s">
        <v>29</v>
      </c>
      <c r="J49" s="9" t="n">
        <v>2000</v>
      </c>
      <c r="K49" s="9" t="n">
        <v>50000</v>
      </c>
      <c r="L49" s="6" t="n">
        <v>20</v>
      </c>
      <c r="M49" s="6" t="n">
        <v>12</v>
      </c>
      <c r="N49" s="6" t="n">
        <f aca="false">IF(OR(L49="",M49=""),"",L49+M49)</f>
        <v>32</v>
      </c>
      <c r="O49" s="6" t="n">
        <v>475</v>
      </c>
      <c r="P49" s="10" t="n">
        <f aca="false">IF(F49="牡",1,0)+IF(OR(MONTH(H49)=3,MONTH(H49)=4),1,0)+IF(LEFT(I49,4)="ノーザン",1,0)+IF(AND(L49&gt;=8,L49&lt;=11),1,0)+IF(AND(J49&gt;=2500,J49&lt;6000),1,0)+IF(O49&gt;=430,1,0)</f>
        <v>3</v>
      </c>
      <c r="Q49" s="7" t="s">
        <v>220</v>
      </c>
      <c r="R49" s="7" t="s">
        <v>233</v>
      </c>
      <c r="S49" s="6"/>
      <c r="T49" s="6" t="n">
        <v>158.5</v>
      </c>
      <c r="U49" s="6" t="n">
        <v>179.5</v>
      </c>
      <c r="V49" s="6" t="n">
        <v>21.3</v>
      </c>
      <c r="W49" s="11" t="s">
        <v>234</v>
      </c>
    </row>
    <row r="50" customFormat="false" ht="15" hidden="false" customHeight="true" outlineLevel="0" collapsed="false">
      <c r="A50" s="6" t="n">
        <v>49</v>
      </c>
      <c r="B50" s="6" t="s">
        <v>48</v>
      </c>
      <c r="C50" s="7" t="s">
        <v>235</v>
      </c>
      <c r="D50" s="7" t="s">
        <v>50</v>
      </c>
      <c r="E50" s="7" t="s">
        <v>54</v>
      </c>
      <c r="F50" s="7" t="s">
        <v>27</v>
      </c>
      <c r="G50" s="7" t="s">
        <v>28</v>
      </c>
      <c r="H50" s="8" t="n">
        <v>45681</v>
      </c>
      <c r="I50" s="7" t="s">
        <v>29</v>
      </c>
      <c r="J50" s="9" t="n">
        <v>6000</v>
      </c>
      <c r="K50" s="9" t="n">
        <v>150000</v>
      </c>
      <c r="L50" s="6" t="n">
        <v>8</v>
      </c>
      <c r="M50" s="6" t="n">
        <v>1</v>
      </c>
      <c r="N50" s="6" t="n">
        <f aca="false">IF(OR(L50="",M50=""),"",L50+M50)</f>
        <v>9</v>
      </c>
      <c r="O50" s="6" t="n">
        <v>445</v>
      </c>
      <c r="P50" s="10" t="n">
        <f aca="false">IF(F50="牡",1,0)+IF(OR(MONTH(H50)=3,MONTH(H50)=4),1,0)+IF(LEFT(I50,4)="ノーザン",1,0)+IF(AND(L50&gt;=8,L50&lt;=11),1,0)+IF(AND(J50&gt;=2500,J50&lt;6000),1,0)+IF(O50&gt;=430,1,0)</f>
        <v>4</v>
      </c>
      <c r="Q50" s="7" t="s">
        <v>220</v>
      </c>
      <c r="R50" s="7" t="s">
        <v>236</v>
      </c>
      <c r="S50" s="6" t="s">
        <v>32</v>
      </c>
      <c r="T50" s="6" t="n">
        <v>152</v>
      </c>
      <c r="U50" s="6" t="n">
        <v>172</v>
      </c>
      <c r="V50" s="6" t="n">
        <v>20.9</v>
      </c>
      <c r="W50" s="11" t="s">
        <v>237</v>
      </c>
    </row>
    <row r="51" customFormat="false" ht="15" hidden="false" customHeight="true" outlineLevel="0" collapsed="false">
      <c r="A51" s="6" t="n">
        <v>50</v>
      </c>
      <c r="B51" s="6" t="s">
        <v>48</v>
      </c>
      <c r="C51" s="7" t="s">
        <v>238</v>
      </c>
      <c r="D51" s="7" t="s">
        <v>50</v>
      </c>
      <c r="E51" s="7" t="s">
        <v>54</v>
      </c>
      <c r="F51" s="7" t="s">
        <v>37</v>
      </c>
      <c r="G51" s="7" t="s">
        <v>59</v>
      </c>
      <c r="H51" s="8" t="n">
        <v>45711</v>
      </c>
      <c r="I51" s="7" t="s">
        <v>29</v>
      </c>
      <c r="J51" s="9" t="n">
        <v>7000</v>
      </c>
      <c r="K51" s="9" t="n">
        <v>175000</v>
      </c>
      <c r="L51" s="6" t="n">
        <v>12</v>
      </c>
      <c r="M51" s="6" t="n">
        <v>7</v>
      </c>
      <c r="N51" s="6" t="n">
        <f aca="false">IF(OR(L51="",M51=""),"",L51+M51)</f>
        <v>19</v>
      </c>
      <c r="O51" s="6" t="n">
        <v>442</v>
      </c>
      <c r="P51" s="10" t="n">
        <f aca="false">IF(F51="牡",1,0)+IF(OR(MONTH(H51)=3,MONTH(H51)=4),1,0)+IF(LEFT(I51,4)="ノーザン",1,0)+IF(AND(L51&gt;=8,L51&lt;=11),1,0)+IF(AND(J51&gt;=2500,J51&lt;6000),1,0)+IF(O51&gt;=430,1,0)</f>
        <v>2</v>
      </c>
      <c r="Q51" s="7" t="s">
        <v>220</v>
      </c>
      <c r="R51" s="7" t="s">
        <v>239</v>
      </c>
      <c r="S51" s="6"/>
      <c r="T51" s="6" t="n">
        <v>154</v>
      </c>
      <c r="U51" s="6" t="n">
        <v>175.5</v>
      </c>
      <c r="V51" s="6" t="n">
        <v>20</v>
      </c>
      <c r="W51" s="12" t="s">
        <v>240</v>
      </c>
    </row>
    <row r="52" customFormat="false" ht="15" hidden="false" customHeight="true" outlineLevel="0" collapsed="false">
      <c r="A52" s="6" t="n">
        <v>51</v>
      </c>
      <c r="B52" s="6" t="s">
        <v>48</v>
      </c>
      <c r="C52" s="7" t="s">
        <v>241</v>
      </c>
      <c r="D52" s="7" t="s">
        <v>63</v>
      </c>
      <c r="E52" s="7" t="s">
        <v>68</v>
      </c>
      <c r="F52" s="7" t="s">
        <v>27</v>
      </c>
      <c r="G52" s="7" t="s">
        <v>28</v>
      </c>
      <c r="H52" s="8" t="n">
        <v>45712</v>
      </c>
      <c r="I52" s="7" t="s">
        <v>195</v>
      </c>
      <c r="J52" s="9" t="n">
        <v>8000</v>
      </c>
      <c r="K52" s="9" t="n">
        <v>200000</v>
      </c>
      <c r="L52" s="6" t="n">
        <v>12</v>
      </c>
      <c r="M52" s="6" t="n">
        <v>6</v>
      </c>
      <c r="N52" s="6" t="n">
        <f aca="false">IF(OR(L52="",M52=""),"",L52+M52)</f>
        <v>18</v>
      </c>
      <c r="O52" s="6" t="n">
        <v>480</v>
      </c>
      <c r="P52" s="10" t="n">
        <f aca="false">IF(F52="牡",1,0)+IF(OR(MONTH(H52)=3,MONTH(H52)=4),1,0)+IF(LEFT(I52,4)="ノーザン",1,0)+IF(AND(L52&gt;=8,L52&lt;=11),1,0)+IF(AND(J52&gt;=2500,J52&lt;6000),1,0)+IF(O52&gt;=430,1,0)</f>
        <v>2</v>
      </c>
      <c r="Q52" s="7" t="s">
        <v>220</v>
      </c>
      <c r="R52" s="7" t="s">
        <v>242</v>
      </c>
      <c r="S52" s="6"/>
      <c r="T52" s="6" t="n">
        <v>158.5</v>
      </c>
      <c r="U52" s="6" t="n">
        <v>179</v>
      </c>
      <c r="V52" s="6" t="n">
        <v>20.8</v>
      </c>
      <c r="W52" s="11" t="s">
        <v>243</v>
      </c>
    </row>
    <row r="53" customFormat="false" ht="15" hidden="false" customHeight="true" outlineLevel="0" collapsed="false">
      <c r="A53" s="6" t="n">
        <v>52</v>
      </c>
      <c r="B53" s="6"/>
      <c r="C53" s="7" t="s">
        <v>244</v>
      </c>
      <c r="D53" s="7" t="s">
        <v>63</v>
      </c>
      <c r="E53" s="6" t="s">
        <v>219</v>
      </c>
      <c r="F53" s="7" t="s">
        <v>27</v>
      </c>
      <c r="G53" s="7" t="s">
        <v>28</v>
      </c>
      <c r="H53" s="8" t="n">
        <v>45731</v>
      </c>
      <c r="I53" s="7" t="s">
        <v>29</v>
      </c>
      <c r="J53" s="9" t="n">
        <v>9000</v>
      </c>
      <c r="K53" s="9" t="n">
        <v>225000</v>
      </c>
      <c r="L53" s="6" t="n">
        <v>11</v>
      </c>
      <c r="M53" s="6" t="n">
        <v>5</v>
      </c>
      <c r="N53" s="6" t="n">
        <f aca="false">IF(OR(L53="",M53=""),"",L53+M53)</f>
        <v>16</v>
      </c>
      <c r="O53" s="6" t="n">
        <v>466</v>
      </c>
      <c r="P53" s="10" t="n">
        <f aca="false">IF(F53="牡",1,0)+IF(OR(MONTH(H53)=3,MONTH(H53)=4),1,0)+IF(LEFT(I53,4)="ノーザン",1,0)+IF(AND(L53&gt;=8,L53&lt;=11),1,0)+IF(AND(J53&gt;=2500,J53&lt;6000),1,0)+IF(O53&gt;=430,1,0)</f>
        <v>5</v>
      </c>
      <c r="Q53" s="7" t="s">
        <v>220</v>
      </c>
      <c r="R53" s="7" t="s">
        <v>245</v>
      </c>
      <c r="S53" s="6" t="s">
        <v>246</v>
      </c>
      <c r="T53" s="6" t="n">
        <v>161</v>
      </c>
      <c r="U53" s="6" t="n">
        <v>179.5</v>
      </c>
      <c r="V53" s="6" t="n">
        <v>20.9</v>
      </c>
      <c r="W53" s="11" t="s">
        <v>247</v>
      </c>
    </row>
    <row r="54" customFormat="false" ht="15" hidden="false" customHeight="true" outlineLevel="0" collapsed="false">
      <c r="A54" s="6" t="n">
        <v>53</v>
      </c>
      <c r="B54" s="6"/>
      <c r="C54" s="7" t="s">
        <v>248</v>
      </c>
      <c r="D54" s="7" t="s">
        <v>63</v>
      </c>
      <c r="E54" s="6" t="s">
        <v>249</v>
      </c>
      <c r="F54" s="7" t="s">
        <v>27</v>
      </c>
      <c r="G54" s="7" t="s">
        <v>28</v>
      </c>
      <c r="H54" s="8" t="n">
        <v>45760</v>
      </c>
      <c r="I54" s="7" t="s">
        <v>250</v>
      </c>
      <c r="J54" s="9" t="n">
        <v>9000</v>
      </c>
      <c r="K54" s="9" t="n">
        <v>225000</v>
      </c>
      <c r="L54" s="6" t="n">
        <v>11</v>
      </c>
      <c r="M54" s="6" t="n">
        <v>4</v>
      </c>
      <c r="N54" s="6" t="n">
        <f aca="false">IF(OR(L54="",M54=""),"",L54+M54)</f>
        <v>15</v>
      </c>
      <c r="O54" s="6" t="n">
        <v>480</v>
      </c>
      <c r="P54" s="10" t="n">
        <f aca="false">IF(F54="牡",1,0)+IF(OR(MONTH(H54)=3,MONTH(H54)=4),1,0)+IF(LEFT(I54,4)="ノーザン",1,0)+IF(AND(L54&gt;=8,L54&lt;=11),1,0)+IF(AND(J54&gt;=2500,J54&lt;6000),1,0)+IF(O54&gt;=430,1,0)</f>
        <v>4</v>
      </c>
      <c r="Q54" s="7" t="s">
        <v>220</v>
      </c>
      <c r="R54" s="7" t="s">
        <v>239</v>
      </c>
      <c r="S54" s="6"/>
      <c r="T54" s="6" t="n">
        <v>156</v>
      </c>
      <c r="U54" s="6" t="n">
        <v>175</v>
      </c>
      <c r="V54" s="6" t="n">
        <v>20.7</v>
      </c>
      <c r="W54" s="11" t="s">
        <v>251</v>
      </c>
    </row>
    <row r="55" customFormat="false" ht="15" hidden="false" customHeight="true" outlineLevel="0" collapsed="false">
      <c r="A55" s="6" t="n">
        <v>54</v>
      </c>
      <c r="B55" s="6" t="s">
        <v>48</v>
      </c>
      <c r="C55" s="7" t="s">
        <v>252</v>
      </c>
      <c r="D55" s="7" t="s">
        <v>63</v>
      </c>
      <c r="E55" s="7" t="s">
        <v>135</v>
      </c>
      <c r="F55" s="7" t="s">
        <v>37</v>
      </c>
      <c r="G55" s="7" t="s">
        <v>28</v>
      </c>
      <c r="H55" s="8" t="n">
        <v>45711</v>
      </c>
      <c r="I55" s="7" t="s">
        <v>29</v>
      </c>
      <c r="J55" s="9" t="n">
        <v>6000</v>
      </c>
      <c r="K55" s="9" t="n">
        <v>150000</v>
      </c>
      <c r="L55" s="6" t="n">
        <v>7</v>
      </c>
      <c r="M55" s="6" t="n">
        <v>1</v>
      </c>
      <c r="N55" s="6" t="n">
        <f aca="false">IF(OR(L55="",M55=""),"",L55+M55)</f>
        <v>8</v>
      </c>
      <c r="O55" s="6" t="n">
        <v>463</v>
      </c>
      <c r="P55" s="10" t="n">
        <f aca="false">IF(F55="牡",1,0)+IF(OR(MONTH(H55)=3,MONTH(H55)=4),1,0)+IF(LEFT(I55,4)="ノーザン",1,0)+IF(AND(L55&gt;=8,L55&lt;=11),1,0)+IF(AND(J55&gt;=2500,J55&lt;6000),1,0)+IF(O55&gt;=430,1,0)</f>
        <v>2</v>
      </c>
      <c r="Q55" s="7" t="s">
        <v>220</v>
      </c>
      <c r="R55" s="7" t="s">
        <v>253</v>
      </c>
      <c r="S55" s="6"/>
      <c r="T55" s="6" t="n">
        <v>157.5</v>
      </c>
      <c r="U55" s="6" t="n">
        <v>179</v>
      </c>
      <c r="V55" s="6" t="n">
        <v>20.1</v>
      </c>
      <c r="W55" s="12" t="s">
        <v>254</v>
      </c>
    </row>
    <row r="56" customFormat="false" ht="15" hidden="false" customHeight="true" outlineLevel="0" collapsed="false">
      <c r="A56" s="6" t="n">
        <v>55</v>
      </c>
      <c r="B56" s="6"/>
      <c r="C56" s="7" t="s">
        <v>255</v>
      </c>
      <c r="D56" s="7" t="s">
        <v>72</v>
      </c>
      <c r="E56" s="6" t="s">
        <v>256</v>
      </c>
      <c r="F56" s="7" t="s">
        <v>27</v>
      </c>
      <c r="G56" s="7" t="s">
        <v>28</v>
      </c>
      <c r="H56" s="8" t="n">
        <v>45674</v>
      </c>
      <c r="I56" s="7" t="s">
        <v>29</v>
      </c>
      <c r="J56" s="9" t="n">
        <v>8000</v>
      </c>
      <c r="K56" s="9" t="n">
        <v>200000</v>
      </c>
      <c r="L56" s="6" t="n">
        <v>7</v>
      </c>
      <c r="M56" s="6" t="n">
        <v>1</v>
      </c>
      <c r="N56" s="6" t="n">
        <f aca="false">IF(OR(L56="",M56=""),"",L56+M56)</f>
        <v>8</v>
      </c>
      <c r="O56" s="6" t="n">
        <v>452</v>
      </c>
      <c r="P56" s="10" t="n">
        <f aca="false">IF(F56="牡",1,0)+IF(OR(MONTH(H56)=3,MONTH(H56)=4),1,0)+IF(LEFT(I56,4)="ノーザン",1,0)+IF(AND(L56&gt;=8,L56&lt;=11),1,0)+IF(AND(J56&gt;=2500,J56&lt;6000),1,0)+IF(O56&gt;=430,1,0)</f>
        <v>3</v>
      </c>
      <c r="Q56" s="7" t="s">
        <v>220</v>
      </c>
      <c r="R56" s="7" t="s">
        <v>257</v>
      </c>
      <c r="S56" s="6"/>
      <c r="T56" s="6" t="n">
        <v>151</v>
      </c>
      <c r="U56" s="6" t="n">
        <v>173.5</v>
      </c>
      <c r="V56" s="6" t="n">
        <v>19.3</v>
      </c>
      <c r="W56" s="11" t="s">
        <v>258</v>
      </c>
    </row>
    <row r="57" customFormat="false" ht="15" hidden="false" customHeight="true" outlineLevel="0" collapsed="false">
      <c r="A57" s="6" t="n">
        <v>56</v>
      </c>
      <c r="B57" s="6" t="s">
        <v>48</v>
      </c>
      <c r="C57" s="7" t="s">
        <v>259</v>
      </c>
      <c r="D57" s="7" t="s">
        <v>72</v>
      </c>
      <c r="E57" s="7" t="s">
        <v>260</v>
      </c>
      <c r="F57" s="7" t="s">
        <v>27</v>
      </c>
      <c r="G57" s="7" t="s">
        <v>65</v>
      </c>
      <c r="H57" s="8" t="n">
        <v>45783</v>
      </c>
      <c r="I57" s="7" t="s">
        <v>29</v>
      </c>
      <c r="J57" s="9" t="n">
        <v>12000</v>
      </c>
      <c r="K57" s="9" t="n">
        <v>300000</v>
      </c>
      <c r="L57" s="6" t="n">
        <v>9</v>
      </c>
      <c r="M57" s="6" t="n">
        <v>3</v>
      </c>
      <c r="N57" s="6" t="n">
        <f aca="false">IF(OR(L57="",M57=""),"",L57+M57)</f>
        <v>12</v>
      </c>
      <c r="O57" s="6" t="n">
        <v>430</v>
      </c>
      <c r="P57" s="10" t="n">
        <f aca="false">IF(F57="牡",1,0)+IF(OR(MONTH(H57)=3,MONTH(H57)=4),1,0)+IF(LEFT(I57,4)="ノーザン",1,0)+IF(AND(L57&gt;=8,L57&lt;=11),1,0)+IF(AND(J57&gt;=2500,J57&lt;6000),1,0)+IF(O57&gt;=430,1,0)</f>
        <v>4</v>
      </c>
      <c r="Q57" s="7" t="s">
        <v>220</v>
      </c>
      <c r="R57" s="7" t="s">
        <v>228</v>
      </c>
      <c r="S57" s="6"/>
      <c r="T57" s="6" t="n">
        <v>158</v>
      </c>
      <c r="U57" s="6" t="n">
        <v>172</v>
      </c>
      <c r="V57" s="6" t="n">
        <v>20.7</v>
      </c>
      <c r="W57" s="11" t="s">
        <v>261</v>
      </c>
    </row>
    <row r="58" customFormat="false" ht="15" hidden="false" customHeight="true" outlineLevel="0" collapsed="false">
      <c r="A58" s="6" t="n">
        <v>57</v>
      </c>
      <c r="B58" s="6" t="s">
        <v>48</v>
      </c>
      <c r="C58" s="7" t="s">
        <v>262</v>
      </c>
      <c r="D58" s="7" t="s">
        <v>89</v>
      </c>
      <c r="E58" s="7" t="s">
        <v>54</v>
      </c>
      <c r="F58" s="7" t="s">
        <v>27</v>
      </c>
      <c r="G58" s="7" t="s">
        <v>65</v>
      </c>
      <c r="H58" s="8" t="n">
        <v>45753</v>
      </c>
      <c r="I58" s="7" t="s">
        <v>29</v>
      </c>
      <c r="J58" s="9" t="n">
        <v>10000</v>
      </c>
      <c r="K58" s="9" t="n">
        <v>250000</v>
      </c>
      <c r="L58" s="6" t="n">
        <v>8</v>
      </c>
      <c r="M58" s="6" t="n">
        <v>2</v>
      </c>
      <c r="N58" s="6" t="n">
        <f aca="false">IF(OR(L58="",M58=""),"",L58+M58)</f>
        <v>10</v>
      </c>
      <c r="O58" s="6" t="n">
        <v>414</v>
      </c>
      <c r="P58" s="10" t="n">
        <f aca="false">IF(F58="牡",1,0)+IF(OR(MONTH(H58)=3,MONTH(H58)=4),1,0)+IF(LEFT(I58,4)="ノーザン",1,0)+IF(AND(L58&gt;=8,L58&lt;=11),1,0)+IF(AND(J58&gt;=2500,J58&lt;6000),1,0)+IF(O58&gt;=430,1,0)</f>
        <v>4</v>
      </c>
      <c r="Q58" s="7" t="s">
        <v>220</v>
      </c>
      <c r="R58" s="7" t="s">
        <v>263</v>
      </c>
      <c r="S58" s="6" t="s">
        <v>39</v>
      </c>
      <c r="T58" s="6" t="n">
        <v>151</v>
      </c>
      <c r="U58" s="6" t="n">
        <v>168</v>
      </c>
      <c r="V58" s="6" t="n">
        <v>20</v>
      </c>
      <c r="W58" s="11" t="s">
        <v>264</v>
      </c>
    </row>
    <row r="59" customFormat="false" ht="15" hidden="false" customHeight="true" outlineLevel="0" collapsed="false">
      <c r="A59" s="6" t="n">
        <v>58</v>
      </c>
      <c r="B59" s="6" t="s">
        <v>48</v>
      </c>
      <c r="C59" s="7" t="s">
        <v>265</v>
      </c>
      <c r="D59" s="7" t="s">
        <v>89</v>
      </c>
      <c r="E59" s="7" t="s">
        <v>82</v>
      </c>
      <c r="F59" s="7" t="s">
        <v>37</v>
      </c>
      <c r="G59" s="7" t="s">
        <v>59</v>
      </c>
      <c r="H59" s="8" t="n">
        <v>45773</v>
      </c>
      <c r="I59" s="7" t="s">
        <v>29</v>
      </c>
      <c r="J59" s="9" t="n">
        <v>6000</v>
      </c>
      <c r="K59" s="9" t="n">
        <v>150000</v>
      </c>
      <c r="L59" s="6" t="n">
        <v>7</v>
      </c>
      <c r="M59" s="6" t="n">
        <v>1</v>
      </c>
      <c r="N59" s="6" t="n">
        <f aca="false">IF(OR(L59="",M59=""),"",L59+M59)</f>
        <v>8</v>
      </c>
      <c r="O59" s="6" t="n">
        <v>414</v>
      </c>
      <c r="P59" s="10" t="n">
        <f aca="false">IF(F59="牡",1,0)+IF(OR(MONTH(H59)=3,MONTH(H59)=4),1,0)+IF(LEFT(I59,4)="ノーザン",1,0)+IF(AND(L59&gt;=8,L59&lt;=11),1,0)+IF(AND(J59&gt;=2500,J59&lt;6000),1,0)+IF(O59&gt;=430,1,0)</f>
        <v>2</v>
      </c>
      <c r="Q59" s="7" t="s">
        <v>220</v>
      </c>
      <c r="R59" s="7" t="s">
        <v>266</v>
      </c>
      <c r="S59" s="6"/>
      <c r="T59" s="6" t="n">
        <v>154.5</v>
      </c>
      <c r="U59" s="6" t="n">
        <v>172.5</v>
      </c>
      <c r="V59" s="6" t="n">
        <v>20.4</v>
      </c>
      <c r="W59" s="12" t="s">
        <v>188</v>
      </c>
    </row>
    <row r="60" customFormat="false" ht="15" hidden="false" customHeight="true" outlineLevel="0" collapsed="false">
      <c r="A60" s="6" t="n">
        <v>59</v>
      </c>
      <c r="B60" s="6"/>
      <c r="C60" s="7" t="s">
        <v>267</v>
      </c>
      <c r="D60" s="7" t="s">
        <v>95</v>
      </c>
      <c r="E60" s="7" t="s">
        <v>51</v>
      </c>
      <c r="F60" s="7" t="s">
        <v>27</v>
      </c>
      <c r="G60" s="7" t="s">
        <v>65</v>
      </c>
      <c r="H60" s="8" t="n">
        <v>45772</v>
      </c>
      <c r="I60" s="7" t="s">
        <v>268</v>
      </c>
      <c r="J60" s="9" t="n">
        <v>3600</v>
      </c>
      <c r="K60" s="9" t="n">
        <v>90000</v>
      </c>
      <c r="L60" s="6" t="n">
        <v>10</v>
      </c>
      <c r="M60" s="6" t="n">
        <v>3</v>
      </c>
      <c r="N60" s="6" t="n">
        <f aca="false">IF(OR(L60="",M60=""),"",L60+M60)</f>
        <v>13</v>
      </c>
      <c r="O60" s="6" t="n">
        <v>426</v>
      </c>
      <c r="P60" s="10" t="n">
        <f aca="false">IF(F60="牡",1,0)+IF(OR(MONTH(H60)=3,MONTH(H60)=4),1,0)+IF(LEFT(I60,4)="ノーザン",1,0)+IF(AND(L60&gt;=8,L60&lt;=11),1,0)+IF(AND(J60&gt;=2500,J60&lt;6000),1,0)+IF(O60&gt;=430,1,0)</f>
        <v>4</v>
      </c>
      <c r="Q60" s="7" t="s">
        <v>220</v>
      </c>
      <c r="R60" s="7" t="s">
        <v>269</v>
      </c>
      <c r="S60" s="6" t="s">
        <v>32</v>
      </c>
      <c r="T60" s="6" t="n">
        <v>151</v>
      </c>
      <c r="U60" s="6" t="n">
        <v>173.5</v>
      </c>
      <c r="V60" s="6" t="n">
        <v>20.3</v>
      </c>
      <c r="W60" s="11" t="s">
        <v>270</v>
      </c>
    </row>
    <row r="61" customFormat="false" ht="15" hidden="false" customHeight="true" outlineLevel="0" collapsed="false">
      <c r="A61" s="6" t="n">
        <v>60</v>
      </c>
      <c r="B61" s="6"/>
      <c r="C61" s="7" t="s">
        <v>271</v>
      </c>
      <c r="D61" s="7" t="s">
        <v>104</v>
      </c>
      <c r="E61" s="6" t="s">
        <v>272</v>
      </c>
      <c r="F61" s="7" t="s">
        <v>37</v>
      </c>
      <c r="G61" s="7" t="s">
        <v>28</v>
      </c>
      <c r="H61" s="8" t="n">
        <v>45771</v>
      </c>
      <c r="I61" s="7" t="s">
        <v>29</v>
      </c>
      <c r="J61" s="9" t="n">
        <v>6000</v>
      </c>
      <c r="K61" s="9" t="n">
        <v>150000</v>
      </c>
      <c r="L61" s="6" t="n">
        <v>15</v>
      </c>
      <c r="M61" s="6" t="n">
        <v>8</v>
      </c>
      <c r="N61" s="6" t="n">
        <f aca="false">IF(OR(L61="",M61=""),"",L61+M61)</f>
        <v>23</v>
      </c>
      <c r="O61" s="6" t="n">
        <v>421</v>
      </c>
      <c r="P61" s="10" t="n">
        <f aca="false">IF(F61="牡",1,0)+IF(OR(MONTH(H61)=3,MONTH(H61)=4),1,0)+IF(LEFT(I61,4)="ノーザン",1,0)+IF(AND(L61&gt;=8,L61&lt;=11),1,0)+IF(AND(J61&gt;=2500,J61&lt;6000),1,0)+IF(O61&gt;=430,1,0)</f>
        <v>2</v>
      </c>
      <c r="Q61" s="7" t="s">
        <v>220</v>
      </c>
      <c r="R61" s="7" t="s">
        <v>245</v>
      </c>
      <c r="S61" s="6" t="s">
        <v>246</v>
      </c>
      <c r="T61" s="6" t="n">
        <v>155.5</v>
      </c>
      <c r="U61" s="6" t="n">
        <v>174.5</v>
      </c>
      <c r="V61" s="6" t="n">
        <v>20.2</v>
      </c>
      <c r="W61" s="12" t="s">
        <v>188</v>
      </c>
    </row>
    <row r="62" customFormat="false" ht="15" hidden="false" customHeight="true" outlineLevel="0" collapsed="false">
      <c r="A62" s="6" t="n">
        <v>61</v>
      </c>
      <c r="B62" s="6"/>
      <c r="C62" s="7" t="s">
        <v>273</v>
      </c>
      <c r="D62" s="7" t="s">
        <v>26</v>
      </c>
      <c r="E62" s="6" t="s">
        <v>274</v>
      </c>
      <c r="F62" s="7" t="s">
        <v>37</v>
      </c>
      <c r="G62" s="7" t="s">
        <v>28</v>
      </c>
      <c r="H62" s="8" t="n">
        <v>45719</v>
      </c>
      <c r="I62" s="7" t="s">
        <v>29</v>
      </c>
      <c r="J62" s="9" t="n">
        <v>4600</v>
      </c>
      <c r="K62" s="9" t="n">
        <v>115000</v>
      </c>
      <c r="L62" s="6" t="n">
        <v>13</v>
      </c>
      <c r="M62" s="6" t="n">
        <v>7</v>
      </c>
      <c r="N62" s="6" t="n">
        <f aca="false">IF(OR(L62="",M62=""),"",L62+M62)</f>
        <v>20</v>
      </c>
      <c r="O62" s="6" t="n">
        <v>446</v>
      </c>
      <c r="P62" s="10" t="n">
        <f aca="false">IF(F62="牡",1,0)+IF(OR(MONTH(H62)=3,MONTH(H62)=4),1,0)+IF(LEFT(I62,4)="ノーザン",1,0)+IF(AND(L62&gt;=8,L62&lt;=11),1,0)+IF(AND(J62&gt;=2500,J62&lt;6000),1,0)+IF(O62&gt;=430,1,0)</f>
        <v>4</v>
      </c>
      <c r="Q62" s="7" t="s">
        <v>220</v>
      </c>
      <c r="R62" s="7" t="s">
        <v>245</v>
      </c>
      <c r="S62" s="6" t="s">
        <v>246</v>
      </c>
      <c r="T62" s="6" t="n">
        <v>154</v>
      </c>
      <c r="U62" s="6" t="n">
        <v>179</v>
      </c>
      <c r="V62" s="6" t="n">
        <v>19.5</v>
      </c>
      <c r="W62" s="12" t="s">
        <v>275</v>
      </c>
    </row>
    <row r="63" customFormat="false" ht="15" hidden="false" customHeight="true" outlineLevel="0" collapsed="false">
      <c r="A63" s="6" t="n">
        <v>62</v>
      </c>
      <c r="B63" s="6"/>
      <c r="C63" s="7" t="s">
        <v>276</v>
      </c>
      <c r="D63" s="7" t="s">
        <v>119</v>
      </c>
      <c r="E63" s="7" t="s">
        <v>135</v>
      </c>
      <c r="F63" s="7" t="s">
        <v>27</v>
      </c>
      <c r="G63" s="7" t="s">
        <v>28</v>
      </c>
      <c r="H63" s="8" t="n">
        <v>45694</v>
      </c>
      <c r="I63" s="7" t="s">
        <v>29</v>
      </c>
      <c r="J63" s="9" t="n">
        <v>5000</v>
      </c>
      <c r="K63" s="9" t="n">
        <v>125000</v>
      </c>
      <c r="L63" s="6" t="n">
        <v>7</v>
      </c>
      <c r="M63" s="6" t="n">
        <v>1</v>
      </c>
      <c r="N63" s="6" t="n">
        <f aca="false">IF(OR(L63="",M63=""),"",L63+M63)</f>
        <v>8</v>
      </c>
      <c r="O63" s="6" t="n">
        <v>457</v>
      </c>
      <c r="P63" s="10" t="n">
        <f aca="false">IF(F63="牡",1,0)+IF(OR(MONTH(H63)=3,MONTH(H63)=4),1,0)+IF(LEFT(I63,4)="ノーザン",1,0)+IF(AND(L63&gt;=8,L63&lt;=11),1,0)+IF(AND(J63&gt;=2500,J63&lt;6000),1,0)+IF(O63&gt;=430,1,0)</f>
        <v>4</v>
      </c>
      <c r="Q63" s="7" t="s">
        <v>220</v>
      </c>
      <c r="R63" s="7" t="s">
        <v>277</v>
      </c>
      <c r="S63" s="6" t="s">
        <v>39</v>
      </c>
      <c r="T63" s="6" t="n">
        <v>151</v>
      </c>
      <c r="U63" s="6" t="n">
        <v>178.5</v>
      </c>
      <c r="V63" s="6" t="n">
        <v>21</v>
      </c>
      <c r="W63" s="11" t="s">
        <v>278</v>
      </c>
    </row>
    <row r="64" customFormat="false" ht="15" hidden="false" customHeight="true" outlineLevel="0" collapsed="false">
      <c r="A64" s="6" t="n">
        <v>63</v>
      </c>
      <c r="B64" s="6"/>
      <c r="C64" s="7" t="s">
        <v>279</v>
      </c>
      <c r="D64" s="7" t="s">
        <v>119</v>
      </c>
      <c r="E64" s="7" t="s">
        <v>280</v>
      </c>
      <c r="F64" s="7" t="s">
        <v>37</v>
      </c>
      <c r="G64" s="7" t="s">
        <v>65</v>
      </c>
      <c r="H64" s="8" t="n">
        <v>45708</v>
      </c>
      <c r="I64" s="7" t="s">
        <v>195</v>
      </c>
      <c r="J64" s="9" t="n">
        <v>3200</v>
      </c>
      <c r="K64" s="9" t="n">
        <v>80000</v>
      </c>
      <c r="L64" s="6" t="n">
        <v>15</v>
      </c>
      <c r="M64" s="6" t="n">
        <v>4</v>
      </c>
      <c r="N64" s="6" t="n">
        <f aca="false">IF(OR(L64="",M64=""),"",L64+M64)</f>
        <v>19</v>
      </c>
      <c r="O64" s="6" t="n">
        <v>410</v>
      </c>
      <c r="P64" s="10" t="n">
        <f aca="false">IF(F64="牡",1,0)+IF(OR(MONTH(H64)=3,MONTH(H64)=4),1,0)+IF(LEFT(I64,4)="ノーザン",1,0)+IF(AND(L64&gt;=8,L64&lt;=11),1,0)+IF(AND(J64&gt;=2500,J64&lt;6000),1,0)+IF(O64&gt;=430,1,0)</f>
        <v>1</v>
      </c>
      <c r="Q64" s="7" t="s">
        <v>220</v>
      </c>
      <c r="R64" s="7" t="s">
        <v>281</v>
      </c>
      <c r="S64" s="6" t="s">
        <v>246</v>
      </c>
      <c r="T64" s="6" t="n">
        <v>155.5</v>
      </c>
      <c r="U64" s="6" t="n">
        <v>170</v>
      </c>
      <c r="V64" s="6" t="n">
        <v>19.5</v>
      </c>
      <c r="W64" s="11" t="s">
        <v>180</v>
      </c>
    </row>
    <row r="65" customFormat="false" ht="15" hidden="false" customHeight="true" outlineLevel="0" collapsed="false">
      <c r="A65" s="6" t="n">
        <v>64</v>
      </c>
      <c r="B65" s="6" t="s">
        <v>48</v>
      </c>
      <c r="C65" s="7" t="s">
        <v>282</v>
      </c>
      <c r="D65" s="7" t="s">
        <v>119</v>
      </c>
      <c r="E65" s="7" t="s">
        <v>283</v>
      </c>
      <c r="F65" s="7" t="s">
        <v>37</v>
      </c>
      <c r="G65" s="7" t="s">
        <v>28</v>
      </c>
      <c r="H65" s="8" t="n">
        <v>45786</v>
      </c>
      <c r="I65" s="7" t="s">
        <v>29</v>
      </c>
      <c r="J65" s="9" t="n">
        <v>4000</v>
      </c>
      <c r="K65" s="9" t="n">
        <v>100000</v>
      </c>
      <c r="L65" s="6" t="n">
        <v>17</v>
      </c>
      <c r="M65" s="6" t="n">
        <v>9</v>
      </c>
      <c r="N65" s="6" t="n">
        <f aca="false">IF(OR(L65="",M65=""),"",L65+M65)</f>
        <v>26</v>
      </c>
      <c r="O65" s="6" t="n">
        <v>413</v>
      </c>
      <c r="P65" s="10" t="n">
        <f aca="false">IF(F65="牡",1,0)+IF(OR(MONTH(H65)=3,MONTH(H65)=4),1,0)+IF(LEFT(I65,4)="ノーザン",1,0)+IF(AND(L65&gt;=8,L65&lt;=11),1,0)+IF(AND(J65&gt;=2500,J65&lt;6000),1,0)+IF(O65&gt;=430,1,0)</f>
        <v>2</v>
      </c>
      <c r="Q65" s="7" t="s">
        <v>220</v>
      </c>
      <c r="R65" s="7" t="s">
        <v>284</v>
      </c>
      <c r="S65" s="6"/>
      <c r="T65" s="6" t="n">
        <v>153</v>
      </c>
      <c r="U65" s="6" t="n">
        <v>173.5</v>
      </c>
      <c r="V65" s="6" t="n">
        <v>19.8</v>
      </c>
      <c r="W65" s="12" t="s">
        <v>140</v>
      </c>
    </row>
    <row r="66" customFormat="false" ht="15" hidden="false" customHeight="true" outlineLevel="0" collapsed="false">
      <c r="A66" s="6" t="n">
        <v>65</v>
      </c>
      <c r="B66" s="6" t="s">
        <v>48</v>
      </c>
      <c r="C66" s="7" t="s">
        <v>285</v>
      </c>
      <c r="D66" s="7" t="s">
        <v>124</v>
      </c>
      <c r="E66" s="7" t="s">
        <v>82</v>
      </c>
      <c r="F66" s="7" t="s">
        <v>27</v>
      </c>
      <c r="G66" s="7" t="s">
        <v>28</v>
      </c>
      <c r="H66" s="8" t="n">
        <v>45699</v>
      </c>
      <c r="I66" s="7" t="s">
        <v>29</v>
      </c>
      <c r="J66" s="9" t="n">
        <v>5000</v>
      </c>
      <c r="K66" s="9" t="n">
        <v>125000</v>
      </c>
      <c r="L66" s="6" t="n">
        <v>10</v>
      </c>
      <c r="M66" s="6" t="n">
        <v>4</v>
      </c>
      <c r="N66" s="6" t="n">
        <f aca="false">IF(OR(L66="",M66=""),"",L66+M66)</f>
        <v>14</v>
      </c>
      <c r="O66" s="6" t="n">
        <v>506</v>
      </c>
      <c r="P66" s="10" t="n">
        <f aca="false">IF(F66="牡",1,0)+IF(OR(MONTH(H66)=3,MONTH(H66)=4),1,0)+IF(LEFT(I66,4)="ノーザン",1,0)+IF(AND(L66&gt;=8,L66&lt;=11),1,0)+IF(AND(J66&gt;=2500,J66&lt;6000),1,0)+IF(O66&gt;=430,1,0)</f>
        <v>5</v>
      </c>
      <c r="Q66" s="7" t="s">
        <v>220</v>
      </c>
      <c r="R66" s="7" t="s">
        <v>286</v>
      </c>
      <c r="S66" s="6"/>
      <c r="T66" s="6" t="n">
        <v>155.5</v>
      </c>
      <c r="U66" s="6" t="n">
        <v>181.5</v>
      </c>
      <c r="V66" s="6" t="n">
        <v>20.5</v>
      </c>
      <c r="W66" s="11" t="s">
        <v>287</v>
      </c>
    </row>
    <row r="67" customFormat="false" ht="15" hidden="false" customHeight="true" outlineLevel="0" collapsed="false">
      <c r="A67" s="6" t="n">
        <v>66</v>
      </c>
      <c r="B67" s="6"/>
      <c r="C67" s="7" t="s">
        <v>288</v>
      </c>
      <c r="D67" s="7" t="s">
        <v>124</v>
      </c>
      <c r="E67" s="7" t="s">
        <v>89</v>
      </c>
      <c r="F67" s="7" t="s">
        <v>37</v>
      </c>
      <c r="G67" s="7" t="s">
        <v>28</v>
      </c>
      <c r="H67" s="8" t="n">
        <v>45722</v>
      </c>
      <c r="I67" s="7" t="s">
        <v>29</v>
      </c>
      <c r="J67" s="9" t="n">
        <v>3000</v>
      </c>
      <c r="K67" s="9" t="n">
        <v>75000</v>
      </c>
      <c r="L67" s="6" t="n">
        <v>7</v>
      </c>
      <c r="M67" s="6" t="n">
        <v>1</v>
      </c>
      <c r="N67" s="6" t="n">
        <f aca="false">IF(OR(L67="",M67=""),"",L67+M67)</f>
        <v>8</v>
      </c>
      <c r="O67" s="6" t="n">
        <v>447</v>
      </c>
      <c r="P67" s="10" t="n">
        <f aca="false">IF(F67="牡",1,0)+IF(OR(MONTH(H67)=3,MONTH(H67)=4),1,0)+IF(LEFT(I67,4)="ノーザン",1,0)+IF(AND(L67&gt;=8,L67&lt;=11),1,0)+IF(AND(J67&gt;=2500,J67&lt;6000),1,0)+IF(O67&gt;=430,1,0)</f>
        <v>4</v>
      </c>
      <c r="Q67" s="7" t="s">
        <v>220</v>
      </c>
      <c r="R67" s="7" t="s">
        <v>289</v>
      </c>
      <c r="S67" s="6"/>
      <c r="T67" s="6" t="n">
        <v>153</v>
      </c>
      <c r="U67" s="6" t="n">
        <v>176</v>
      </c>
      <c r="V67" s="6" t="n">
        <v>19.5</v>
      </c>
      <c r="W67" s="12" t="s">
        <v>290</v>
      </c>
    </row>
    <row r="68" customFormat="false" ht="15" hidden="false" customHeight="true" outlineLevel="0" collapsed="false">
      <c r="A68" s="6" t="n">
        <v>67</v>
      </c>
      <c r="B68" s="6" t="s">
        <v>48</v>
      </c>
      <c r="C68" s="7" t="s">
        <v>291</v>
      </c>
      <c r="D68" s="7" t="s">
        <v>129</v>
      </c>
      <c r="E68" s="7" t="s">
        <v>125</v>
      </c>
      <c r="F68" s="7" t="s">
        <v>27</v>
      </c>
      <c r="G68" s="7" t="s">
        <v>28</v>
      </c>
      <c r="H68" s="8" t="n">
        <v>45721</v>
      </c>
      <c r="I68" s="7" t="s">
        <v>29</v>
      </c>
      <c r="J68" s="9" t="n">
        <v>4000</v>
      </c>
      <c r="K68" s="9" t="n">
        <v>100000</v>
      </c>
      <c r="L68" s="6" t="n">
        <v>10</v>
      </c>
      <c r="M68" s="6" t="n">
        <v>3</v>
      </c>
      <c r="N68" s="6" t="n">
        <f aca="false">IF(OR(L68="",M68=""),"",L68+M68)</f>
        <v>13</v>
      </c>
      <c r="O68" s="6" t="n">
        <v>447</v>
      </c>
      <c r="P68" s="10" t="n">
        <f aca="false">IF(F68="牡",1,0)+IF(OR(MONTH(H68)=3,MONTH(H68)=4),1,0)+IF(LEFT(I68,4)="ノーザン",1,0)+IF(AND(L68&gt;=8,L68&lt;=11),1,0)+IF(AND(J68&gt;=2500,J68&lt;6000),1,0)+IF(O68&gt;=430,1,0)</f>
        <v>6</v>
      </c>
      <c r="Q68" s="7" t="s">
        <v>220</v>
      </c>
      <c r="R68" s="7" t="s">
        <v>292</v>
      </c>
      <c r="S68" s="6"/>
      <c r="T68" s="6" t="n">
        <v>158</v>
      </c>
      <c r="U68" s="6" t="n">
        <v>178</v>
      </c>
      <c r="V68" s="6" t="n">
        <v>20.5</v>
      </c>
      <c r="W68" s="11" t="s">
        <v>293</v>
      </c>
    </row>
    <row r="69" customFormat="false" ht="15" hidden="false" customHeight="true" outlineLevel="0" collapsed="false">
      <c r="A69" s="6" t="n">
        <v>68</v>
      </c>
      <c r="B69" s="6" t="s">
        <v>48</v>
      </c>
      <c r="C69" s="7" t="s">
        <v>294</v>
      </c>
      <c r="D69" s="7" t="s">
        <v>129</v>
      </c>
      <c r="E69" s="7" t="s">
        <v>295</v>
      </c>
      <c r="F69" s="7" t="s">
        <v>37</v>
      </c>
      <c r="G69" s="7" t="s">
        <v>28</v>
      </c>
      <c r="H69" s="8" t="n">
        <v>45700</v>
      </c>
      <c r="I69" s="7" t="s">
        <v>29</v>
      </c>
      <c r="J69" s="9" t="n">
        <v>3000</v>
      </c>
      <c r="K69" s="9" t="n">
        <v>75000</v>
      </c>
      <c r="L69" s="6" t="n">
        <v>10</v>
      </c>
      <c r="M69" s="6" t="n">
        <v>3</v>
      </c>
      <c r="N69" s="6" t="n">
        <f aca="false">IF(OR(L69="",M69=""),"",L69+M69)</f>
        <v>13</v>
      </c>
      <c r="O69" s="6" t="n">
        <v>447</v>
      </c>
      <c r="P69" s="10" t="n">
        <f aca="false">IF(F69="牡",1,0)+IF(OR(MONTH(H69)=3,MONTH(H69)=4),1,0)+IF(LEFT(I69,4)="ノーザン",1,0)+IF(AND(L69&gt;=8,L69&lt;=11),1,0)+IF(AND(J69&gt;=2500,J69&lt;6000),1,0)+IF(O69&gt;=430,1,0)</f>
        <v>4</v>
      </c>
      <c r="Q69" s="7" t="s">
        <v>220</v>
      </c>
      <c r="R69" s="7" t="s">
        <v>296</v>
      </c>
      <c r="S69" s="6"/>
      <c r="T69" s="6" t="n">
        <v>153.5</v>
      </c>
      <c r="U69" s="6" t="n">
        <v>174</v>
      </c>
      <c r="V69" s="6" t="n">
        <v>19.3</v>
      </c>
      <c r="W69" s="12" t="s">
        <v>297</v>
      </c>
    </row>
    <row r="70" customFormat="false" ht="15" hidden="false" customHeight="true" outlineLevel="0" collapsed="false">
      <c r="A70" s="6" t="n">
        <v>69</v>
      </c>
      <c r="B70" s="6" t="s">
        <v>48</v>
      </c>
      <c r="C70" s="7" t="s">
        <v>298</v>
      </c>
      <c r="D70" s="7" t="s">
        <v>129</v>
      </c>
      <c r="E70" s="7" t="s">
        <v>299</v>
      </c>
      <c r="F70" s="7" t="s">
        <v>37</v>
      </c>
      <c r="G70" s="7" t="s">
        <v>59</v>
      </c>
      <c r="H70" s="8" t="n">
        <v>45702</v>
      </c>
      <c r="I70" s="7" t="s">
        <v>29</v>
      </c>
      <c r="J70" s="9" t="n">
        <v>3200</v>
      </c>
      <c r="K70" s="9" t="n">
        <v>80000</v>
      </c>
      <c r="L70" s="6" t="n">
        <v>6</v>
      </c>
      <c r="M70" s="6" t="n">
        <v>1</v>
      </c>
      <c r="N70" s="6" t="n">
        <f aca="false">IF(OR(L70="",M70=""),"",L70+M70)</f>
        <v>7</v>
      </c>
      <c r="O70" s="6" t="n">
        <v>447</v>
      </c>
      <c r="P70" s="10" t="n">
        <f aca="false">IF(F70="牡",1,0)+IF(OR(MONTH(H70)=3,MONTH(H70)=4),1,0)+IF(LEFT(I70,4)="ノーザン",1,0)+IF(AND(L70&gt;=8,L70&lt;=11),1,0)+IF(AND(J70&gt;=2500,J70&lt;6000),1,0)+IF(O70&gt;=430,1,0)</f>
        <v>3</v>
      </c>
      <c r="Q70" s="7" t="s">
        <v>220</v>
      </c>
      <c r="R70" s="7" t="s">
        <v>300</v>
      </c>
      <c r="S70" s="6"/>
      <c r="T70" s="6" t="n">
        <v>155</v>
      </c>
      <c r="U70" s="6" t="n">
        <v>179</v>
      </c>
      <c r="V70" s="6" t="n">
        <v>19.8</v>
      </c>
      <c r="W70" s="12" t="s">
        <v>301</v>
      </c>
    </row>
    <row r="71" customFormat="false" ht="15" hidden="false" customHeight="true" outlineLevel="0" collapsed="false">
      <c r="A71" s="6" t="n">
        <v>70</v>
      </c>
      <c r="B71" s="6" t="s">
        <v>48</v>
      </c>
      <c r="C71" s="7" t="s">
        <v>302</v>
      </c>
      <c r="D71" s="7" t="s">
        <v>303</v>
      </c>
      <c r="E71" s="7" t="s">
        <v>54</v>
      </c>
      <c r="F71" s="7" t="s">
        <v>37</v>
      </c>
      <c r="G71" s="7" t="s">
        <v>28</v>
      </c>
      <c r="H71" s="8" t="n">
        <v>45721</v>
      </c>
      <c r="I71" s="7" t="s">
        <v>29</v>
      </c>
      <c r="J71" s="9" t="n">
        <v>4000</v>
      </c>
      <c r="K71" s="9" t="n">
        <v>100000</v>
      </c>
      <c r="L71" s="6" t="n">
        <v>10</v>
      </c>
      <c r="M71" s="6" t="n">
        <v>4</v>
      </c>
      <c r="N71" s="6" t="n">
        <f aca="false">IF(OR(L71="",M71=""),"",L71+M71)</f>
        <v>14</v>
      </c>
      <c r="O71" s="6" t="n">
        <v>492</v>
      </c>
      <c r="P71" s="10" t="n">
        <f aca="false">IF(F71="牡",1,0)+IF(OR(MONTH(H71)=3,MONTH(H71)=4),1,0)+IF(LEFT(I71,4)="ノーザン",1,0)+IF(AND(L71&gt;=8,L71&lt;=11),1,0)+IF(AND(J71&gt;=2500,J71&lt;6000),1,0)+IF(O71&gt;=430,1,0)</f>
        <v>5</v>
      </c>
      <c r="Q71" s="7" t="s">
        <v>220</v>
      </c>
      <c r="R71" s="7" t="s">
        <v>304</v>
      </c>
      <c r="S71" s="6"/>
      <c r="T71" s="6" t="n">
        <v>161</v>
      </c>
      <c r="U71" s="6" t="n">
        <v>186.5</v>
      </c>
      <c r="V71" s="6" t="n">
        <v>21.5</v>
      </c>
      <c r="W71" s="12" t="s">
        <v>305</v>
      </c>
    </row>
    <row r="72" customFormat="false" ht="15" hidden="false" customHeight="true" outlineLevel="0" collapsed="false">
      <c r="A72" s="6" t="n">
        <v>71</v>
      </c>
      <c r="B72" s="6" t="s">
        <v>48</v>
      </c>
      <c r="C72" s="7" t="s">
        <v>306</v>
      </c>
      <c r="D72" s="7" t="s">
        <v>135</v>
      </c>
      <c r="E72" s="7" t="s">
        <v>92</v>
      </c>
      <c r="F72" s="7" t="s">
        <v>27</v>
      </c>
      <c r="G72" s="7" t="s">
        <v>96</v>
      </c>
      <c r="H72" s="8" t="n">
        <v>45763</v>
      </c>
      <c r="I72" s="7" t="s">
        <v>29</v>
      </c>
      <c r="J72" s="9" t="n">
        <v>4000</v>
      </c>
      <c r="K72" s="9" t="n">
        <v>100000</v>
      </c>
      <c r="L72" s="6" t="n">
        <v>12</v>
      </c>
      <c r="M72" s="6" t="n">
        <v>7</v>
      </c>
      <c r="N72" s="6" t="n">
        <f aca="false">IF(OR(L72="",M72=""),"",L72+M72)</f>
        <v>19</v>
      </c>
      <c r="O72" s="6" t="n">
        <v>458</v>
      </c>
      <c r="P72" s="10" t="n">
        <f aca="false">IF(F72="牡",1,0)+IF(OR(MONTH(H72)=3,MONTH(H72)=4),1,0)+IF(LEFT(I72,4)="ノーザン",1,0)+IF(AND(L72&gt;=8,L72&lt;=11),1,0)+IF(AND(J72&gt;=2500,J72&lt;6000),1,0)+IF(O72&gt;=430,1,0)</f>
        <v>5</v>
      </c>
      <c r="Q72" s="7" t="s">
        <v>220</v>
      </c>
      <c r="R72" s="7" t="s">
        <v>307</v>
      </c>
      <c r="S72" s="6"/>
      <c r="T72" s="6" t="n">
        <v>159.5</v>
      </c>
      <c r="U72" s="6" t="n">
        <v>179</v>
      </c>
      <c r="V72" s="6" t="n">
        <v>20.2</v>
      </c>
      <c r="W72" s="11" t="s">
        <v>308</v>
      </c>
    </row>
    <row r="73" customFormat="false" ht="15" hidden="false" customHeight="true" outlineLevel="0" collapsed="false">
      <c r="A73" s="6" t="n">
        <v>72</v>
      </c>
      <c r="B73" s="6" t="s">
        <v>48</v>
      </c>
      <c r="C73" s="7" t="s">
        <v>309</v>
      </c>
      <c r="D73" s="7" t="s">
        <v>135</v>
      </c>
      <c r="E73" s="7" t="s">
        <v>51</v>
      </c>
      <c r="F73" s="7" t="s">
        <v>37</v>
      </c>
      <c r="G73" s="7" t="s">
        <v>28</v>
      </c>
      <c r="H73" s="8" t="n">
        <v>45686</v>
      </c>
      <c r="I73" s="7" t="s">
        <v>29</v>
      </c>
      <c r="J73" s="9" t="n">
        <v>6000</v>
      </c>
      <c r="K73" s="9" t="n">
        <v>150000</v>
      </c>
      <c r="L73" s="6" t="n">
        <v>15</v>
      </c>
      <c r="M73" s="6" t="n">
        <v>7</v>
      </c>
      <c r="N73" s="6" t="n">
        <f aca="false">IF(OR(L73="",M73=""),"",L73+M73)</f>
        <v>22</v>
      </c>
      <c r="O73" s="6" t="n">
        <v>454</v>
      </c>
      <c r="P73" s="10" t="n">
        <f aca="false">IF(F73="牡",1,0)+IF(OR(MONTH(H73)=3,MONTH(H73)=4),1,0)+IF(LEFT(I73,4)="ノーザン",1,0)+IF(AND(L73&gt;=8,L73&lt;=11),1,0)+IF(AND(J73&gt;=2500,J73&lt;6000),1,0)+IF(O73&gt;=430,1,0)</f>
        <v>2</v>
      </c>
      <c r="Q73" s="7" t="s">
        <v>220</v>
      </c>
      <c r="R73" s="7" t="s">
        <v>263</v>
      </c>
      <c r="S73" s="6" t="s">
        <v>39</v>
      </c>
      <c r="T73" s="6" t="n">
        <v>154</v>
      </c>
      <c r="U73" s="6" t="n">
        <v>175</v>
      </c>
      <c r="V73" s="6" t="n">
        <v>18.5</v>
      </c>
      <c r="W73" s="12" t="s">
        <v>310</v>
      </c>
    </row>
    <row r="74" customFormat="false" ht="15" hidden="false" customHeight="true" outlineLevel="0" collapsed="false">
      <c r="A74" s="6" t="n">
        <v>73</v>
      </c>
      <c r="B74" s="6" t="s">
        <v>48</v>
      </c>
      <c r="C74" s="7" t="s">
        <v>311</v>
      </c>
      <c r="D74" s="7" t="s">
        <v>142</v>
      </c>
      <c r="E74" s="7" t="s">
        <v>312</v>
      </c>
      <c r="F74" s="7" t="s">
        <v>27</v>
      </c>
      <c r="G74" s="7" t="s">
        <v>65</v>
      </c>
      <c r="H74" s="8" t="n">
        <v>45759</v>
      </c>
      <c r="I74" s="7" t="s">
        <v>29</v>
      </c>
      <c r="J74" s="9" t="n">
        <v>4000</v>
      </c>
      <c r="K74" s="9" t="n">
        <v>100000</v>
      </c>
      <c r="L74" s="6" t="n">
        <v>11</v>
      </c>
      <c r="M74" s="6" t="n">
        <v>3</v>
      </c>
      <c r="N74" s="6" t="n">
        <f aca="false">IF(OR(L74="",M74=""),"",L74+M74)</f>
        <v>14</v>
      </c>
      <c r="O74" s="6" t="n">
        <v>448</v>
      </c>
      <c r="P74" s="10" t="n">
        <f aca="false">IF(F74="牡",1,0)+IF(OR(MONTH(H74)=3,MONTH(H74)=4),1,0)+IF(LEFT(I74,4)="ノーザン",1,0)+IF(AND(L74&gt;=8,L74&lt;=11),1,0)+IF(AND(J74&gt;=2500,J74&lt;6000),1,0)+IF(O74&gt;=430,1,0)</f>
        <v>6</v>
      </c>
      <c r="Q74" s="7" t="s">
        <v>220</v>
      </c>
      <c r="R74" s="7" t="s">
        <v>281</v>
      </c>
      <c r="S74" s="6" t="s">
        <v>246</v>
      </c>
      <c r="T74" s="6" t="n">
        <v>151</v>
      </c>
      <c r="U74" s="6" t="n">
        <v>175</v>
      </c>
      <c r="V74" s="6" t="n">
        <v>20.2</v>
      </c>
      <c r="W74" s="11" t="s">
        <v>313</v>
      </c>
    </row>
    <row r="75" customFormat="false" ht="15" hidden="false" customHeight="true" outlineLevel="0" collapsed="false">
      <c r="A75" s="6" t="n">
        <v>74</v>
      </c>
      <c r="B75" s="6" t="s">
        <v>48</v>
      </c>
      <c r="C75" s="7" t="s">
        <v>314</v>
      </c>
      <c r="D75" s="7" t="s">
        <v>142</v>
      </c>
      <c r="E75" s="7" t="s">
        <v>54</v>
      </c>
      <c r="F75" s="7" t="s">
        <v>37</v>
      </c>
      <c r="G75" s="7" t="s">
        <v>96</v>
      </c>
      <c r="H75" s="8" t="n">
        <v>45702</v>
      </c>
      <c r="I75" s="7" t="s">
        <v>29</v>
      </c>
      <c r="J75" s="9" t="n">
        <v>4000</v>
      </c>
      <c r="K75" s="9" t="n">
        <v>100000</v>
      </c>
      <c r="L75" s="6" t="n">
        <v>9</v>
      </c>
      <c r="M75" s="6" t="n">
        <v>3</v>
      </c>
      <c r="N75" s="6" t="n">
        <f aca="false">IF(OR(L75="",M75=""),"",L75+M75)</f>
        <v>12</v>
      </c>
      <c r="O75" s="6" t="n">
        <v>440</v>
      </c>
      <c r="P75" s="10" t="n">
        <f aca="false">IF(F75="牡",1,0)+IF(OR(MONTH(H75)=3,MONTH(H75)=4),1,0)+IF(LEFT(I75,4)="ノーザン",1,0)+IF(AND(L75&gt;=8,L75&lt;=11),1,0)+IF(AND(J75&gt;=2500,J75&lt;6000),1,0)+IF(O75&gt;=430,1,0)</f>
        <v>4</v>
      </c>
      <c r="Q75" s="7" t="s">
        <v>220</v>
      </c>
      <c r="R75" s="7" t="s">
        <v>315</v>
      </c>
      <c r="S75" s="6"/>
      <c r="T75" s="6" t="n">
        <v>156.5</v>
      </c>
      <c r="U75" s="6" t="n">
        <v>178</v>
      </c>
      <c r="V75" s="6" t="n">
        <v>19.7</v>
      </c>
      <c r="W75" s="12" t="s">
        <v>316</v>
      </c>
    </row>
    <row r="76" customFormat="false" ht="15" hidden="false" customHeight="true" outlineLevel="0" collapsed="false">
      <c r="A76" s="6" t="n">
        <v>75</v>
      </c>
      <c r="B76" s="6" t="s">
        <v>48</v>
      </c>
      <c r="C76" s="7" t="s">
        <v>317</v>
      </c>
      <c r="D76" s="7" t="s">
        <v>151</v>
      </c>
      <c r="E76" s="7" t="s">
        <v>58</v>
      </c>
      <c r="F76" s="7" t="s">
        <v>27</v>
      </c>
      <c r="G76" s="7" t="s">
        <v>28</v>
      </c>
      <c r="H76" s="8" t="n">
        <v>45667</v>
      </c>
      <c r="I76" s="7" t="s">
        <v>29</v>
      </c>
      <c r="J76" s="9" t="n">
        <v>4600</v>
      </c>
      <c r="K76" s="9" t="n">
        <v>115000</v>
      </c>
      <c r="L76" s="6" t="n">
        <v>8</v>
      </c>
      <c r="M76" s="6" t="n">
        <v>2</v>
      </c>
      <c r="N76" s="6" t="n">
        <f aca="false">IF(OR(L76="",M76=""),"",L76+M76)</f>
        <v>10</v>
      </c>
      <c r="O76" s="6" t="n">
        <v>455</v>
      </c>
      <c r="P76" s="10" t="n">
        <f aca="false">IF(F76="牡",1,0)+IF(OR(MONTH(H76)=3,MONTH(H76)=4),1,0)+IF(LEFT(I76,4)="ノーザン",1,0)+IF(AND(L76&gt;=8,L76&lt;=11),1,0)+IF(AND(J76&gt;=2500,J76&lt;6000),1,0)+IF(O76&gt;=430,1,0)</f>
        <v>5</v>
      </c>
      <c r="Q76" s="7" t="s">
        <v>220</v>
      </c>
      <c r="R76" s="7" t="s">
        <v>318</v>
      </c>
      <c r="S76" s="6"/>
      <c r="T76" s="6" t="n">
        <v>155</v>
      </c>
      <c r="U76" s="6" t="n">
        <v>173</v>
      </c>
      <c r="V76" s="6" t="n">
        <v>20.4</v>
      </c>
      <c r="W76" s="11" t="s">
        <v>319</v>
      </c>
    </row>
    <row r="77" customFormat="false" ht="15" hidden="false" customHeight="true" outlineLevel="0" collapsed="false">
      <c r="A77" s="6" t="n">
        <v>76</v>
      </c>
      <c r="B77" s="6" t="s">
        <v>48</v>
      </c>
      <c r="C77" s="7" t="s">
        <v>320</v>
      </c>
      <c r="D77" s="7" t="s">
        <v>151</v>
      </c>
      <c r="E77" s="6" t="s">
        <v>321</v>
      </c>
      <c r="F77" s="7" t="s">
        <v>27</v>
      </c>
      <c r="G77" s="7" t="s">
        <v>28</v>
      </c>
      <c r="H77" s="8" t="n">
        <v>45717</v>
      </c>
      <c r="I77" s="7" t="s">
        <v>29</v>
      </c>
      <c r="J77" s="9" t="n">
        <v>6000</v>
      </c>
      <c r="K77" s="9" t="n">
        <v>150000</v>
      </c>
      <c r="L77" s="6" t="n">
        <v>8</v>
      </c>
      <c r="M77" s="6" t="n">
        <v>2</v>
      </c>
      <c r="N77" s="6" t="n">
        <f aca="false">IF(OR(L77="",M77=""),"",L77+M77)</f>
        <v>10</v>
      </c>
      <c r="O77" s="6" t="n">
        <v>458</v>
      </c>
      <c r="P77" s="10" t="n">
        <f aca="false">IF(F77="牡",1,0)+IF(OR(MONTH(H77)=3,MONTH(H77)=4),1,0)+IF(LEFT(I77,4)="ノーザン",1,0)+IF(AND(L77&gt;=8,L77&lt;=11),1,0)+IF(AND(J77&gt;=2500,J77&lt;6000),1,0)+IF(O77&gt;=430,1,0)</f>
        <v>5</v>
      </c>
      <c r="Q77" s="7" t="s">
        <v>220</v>
      </c>
      <c r="R77" s="7" t="s">
        <v>322</v>
      </c>
      <c r="S77" s="6"/>
      <c r="T77" s="6" t="n">
        <v>157</v>
      </c>
      <c r="U77" s="6" t="n">
        <v>171.5</v>
      </c>
      <c r="V77" s="6" t="n">
        <v>21</v>
      </c>
      <c r="W77" s="11" t="s">
        <v>323</v>
      </c>
    </row>
    <row r="78" customFormat="false" ht="15" hidden="false" customHeight="true" outlineLevel="0" collapsed="false">
      <c r="A78" s="6" t="n">
        <v>77</v>
      </c>
      <c r="B78" s="6"/>
      <c r="C78" s="7" t="s">
        <v>324</v>
      </c>
      <c r="D78" s="7" t="s">
        <v>151</v>
      </c>
      <c r="E78" s="7" t="s">
        <v>325</v>
      </c>
      <c r="F78" s="7" t="s">
        <v>37</v>
      </c>
      <c r="G78" s="7" t="s">
        <v>28</v>
      </c>
      <c r="H78" s="8" t="n">
        <v>45736</v>
      </c>
      <c r="I78" s="7" t="s">
        <v>29</v>
      </c>
      <c r="J78" s="9" t="n">
        <v>3600</v>
      </c>
      <c r="K78" s="9" t="n">
        <v>90000</v>
      </c>
      <c r="L78" s="6" t="n">
        <v>17</v>
      </c>
      <c r="M78" s="6" t="n">
        <v>9</v>
      </c>
      <c r="N78" s="6" t="n">
        <f aca="false">IF(OR(L78="",M78=""),"",L78+M78)</f>
        <v>26</v>
      </c>
      <c r="O78" s="6" t="n">
        <v>430</v>
      </c>
      <c r="P78" s="10" t="n">
        <f aca="false">IF(F78="牡",1,0)+IF(OR(MONTH(H78)=3,MONTH(H78)=4),1,0)+IF(LEFT(I78,4)="ノーザン",1,0)+IF(AND(L78&gt;=8,L78&lt;=11),1,0)+IF(AND(J78&gt;=2500,J78&lt;6000),1,0)+IF(O78&gt;=430,1,0)</f>
        <v>4</v>
      </c>
      <c r="Q78" s="7" t="s">
        <v>220</v>
      </c>
      <c r="R78" s="7" t="s">
        <v>326</v>
      </c>
      <c r="S78" s="6"/>
      <c r="T78" s="6" t="n">
        <v>156.5</v>
      </c>
      <c r="U78" s="6" t="n">
        <v>176</v>
      </c>
      <c r="V78" s="6" t="n">
        <v>20.1</v>
      </c>
      <c r="W78" s="12" t="s">
        <v>327</v>
      </c>
    </row>
    <row r="79" customFormat="false" ht="15" hidden="false" customHeight="true" outlineLevel="0" collapsed="false">
      <c r="A79" s="6" t="n">
        <v>78</v>
      </c>
      <c r="B79" s="6"/>
      <c r="C79" s="7" t="s">
        <v>328</v>
      </c>
      <c r="D79" s="7" t="s">
        <v>329</v>
      </c>
      <c r="E79" s="6" t="s">
        <v>330</v>
      </c>
      <c r="F79" s="7" t="s">
        <v>37</v>
      </c>
      <c r="G79" s="7" t="s">
        <v>28</v>
      </c>
      <c r="H79" s="8" t="n">
        <v>45695</v>
      </c>
      <c r="I79" s="7" t="s">
        <v>331</v>
      </c>
      <c r="J79" s="9" t="n">
        <v>3200</v>
      </c>
      <c r="K79" s="9" t="n">
        <v>80000</v>
      </c>
      <c r="L79" s="6" t="n">
        <v>15</v>
      </c>
      <c r="M79" s="6" t="n">
        <v>8</v>
      </c>
      <c r="N79" s="6" t="n">
        <f aca="false">IF(OR(L79="",M79=""),"",L79+M79)</f>
        <v>23</v>
      </c>
      <c r="O79" s="6" t="n">
        <v>449</v>
      </c>
      <c r="P79" s="10" t="n">
        <f aca="false">IF(F79="牡",1,0)+IF(OR(MONTH(H79)=3,MONTH(H79)=4),1,0)+IF(LEFT(I79,4)="ノーザン",1,0)+IF(AND(L79&gt;=8,L79&lt;=11),1,0)+IF(AND(J79&gt;=2500,J79&lt;6000),1,0)+IF(O79&gt;=430,1,0)</f>
        <v>2</v>
      </c>
      <c r="Q79" s="7" t="s">
        <v>220</v>
      </c>
      <c r="R79" s="7" t="s">
        <v>242</v>
      </c>
      <c r="S79" s="6"/>
      <c r="T79" s="6" t="n">
        <v>155.5</v>
      </c>
      <c r="U79" s="6" t="n">
        <v>177.5</v>
      </c>
      <c r="V79" s="6" t="n">
        <v>19.2</v>
      </c>
      <c r="W79" s="11" t="s">
        <v>332</v>
      </c>
    </row>
    <row r="80" customFormat="false" ht="15" hidden="false" customHeight="true" outlineLevel="0" collapsed="false">
      <c r="A80" s="6" t="n">
        <v>79</v>
      </c>
      <c r="B80" s="6"/>
      <c r="C80" s="7" t="s">
        <v>333</v>
      </c>
      <c r="D80" s="7" t="s">
        <v>159</v>
      </c>
      <c r="E80" s="7" t="s">
        <v>89</v>
      </c>
      <c r="F80" s="7" t="s">
        <v>27</v>
      </c>
      <c r="G80" s="7" t="s">
        <v>28</v>
      </c>
      <c r="H80" s="8" t="n">
        <v>45682</v>
      </c>
      <c r="I80" s="7" t="s">
        <v>29</v>
      </c>
      <c r="J80" s="9" t="n">
        <v>4000</v>
      </c>
      <c r="K80" s="9" t="n">
        <v>100000</v>
      </c>
      <c r="L80" s="6" t="n">
        <v>8</v>
      </c>
      <c r="M80" s="6" t="n">
        <v>1</v>
      </c>
      <c r="N80" s="6" t="n">
        <f aca="false">IF(OR(L80="",M80=""),"",L80+M80)</f>
        <v>9</v>
      </c>
      <c r="O80" s="6" t="n">
        <v>432</v>
      </c>
      <c r="P80" s="10" t="n">
        <f aca="false">IF(F80="牡",1,0)+IF(OR(MONTH(H80)=3,MONTH(H80)=4),1,0)+IF(LEFT(I80,4)="ノーザン",1,0)+IF(AND(L80&gt;=8,L80&lt;=11),1,0)+IF(AND(J80&gt;=2500,J80&lt;6000),1,0)+IF(O80&gt;=430,1,0)</f>
        <v>5</v>
      </c>
      <c r="Q80" s="7" t="s">
        <v>220</v>
      </c>
      <c r="R80" s="7" t="s">
        <v>334</v>
      </c>
      <c r="S80" s="6"/>
      <c r="T80" s="6" t="n">
        <v>153</v>
      </c>
      <c r="U80" s="6" t="n">
        <v>167</v>
      </c>
      <c r="V80" s="6" t="n">
        <v>19.3</v>
      </c>
      <c r="W80" s="11" t="s">
        <v>335</v>
      </c>
    </row>
    <row r="81" customFormat="false" ht="15" hidden="false" customHeight="true" outlineLevel="0" collapsed="false">
      <c r="A81" s="6" t="n">
        <v>80</v>
      </c>
      <c r="B81" s="6" t="s">
        <v>48</v>
      </c>
      <c r="C81" s="7" t="s">
        <v>336</v>
      </c>
      <c r="D81" s="7" t="s">
        <v>159</v>
      </c>
      <c r="E81" s="7" t="s">
        <v>54</v>
      </c>
      <c r="F81" s="7" t="s">
        <v>37</v>
      </c>
      <c r="G81" s="7" t="s">
        <v>28</v>
      </c>
      <c r="H81" s="8" t="n">
        <v>45755</v>
      </c>
      <c r="I81" s="7" t="s">
        <v>29</v>
      </c>
      <c r="J81" s="9" t="n">
        <v>4000</v>
      </c>
      <c r="K81" s="9" t="n">
        <v>100000</v>
      </c>
      <c r="L81" s="6" t="n">
        <v>10</v>
      </c>
      <c r="M81" s="6" t="n">
        <v>4</v>
      </c>
      <c r="N81" s="6" t="n">
        <f aca="false">IF(OR(L81="",M81=""),"",L81+M81)</f>
        <v>14</v>
      </c>
      <c r="O81" s="6" t="n">
        <v>403</v>
      </c>
      <c r="P81" s="10" t="n">
        <f aca="false">IF(F81="牡",1,0)+IF(OR(MONTH(H81)=3,MONTH(H81)=4),1,0)+IF(LEFT(I81,4)="ノーザン",1,0)+IF(AND(L81&gt;=8,L81&lt;=11),1,0)+IF(AND(J81&gt;=2500,J81&lt;6000),1,0)+IF(O81&gt;=430,1,0)</f>
        <v>4</v>
      </c>
      <c r="Q81" s="7" t="s">
        <v>220</v>
      </c>
      <c r="R81" s="7" t="s">
        <v>337</v>
      </c>
      <c r="S81" s="6"/>
      <c r="T81" s="6" t="n">
        <v>151</v>
      </c>
      <c r="U81" s="6" t="n">
        <v>169</v>
      </c>
      <c r="V81" s="6" t="n">
        <v>19.6</v>
      </c>
      <c r="W81" s="12" t="s">
        <v>338</v>
      </c>
    </row>
    <row r="82" customFormat="false" ht="15" hidden="false" customHeight="true" outlineLevel="0" collapsed="false">
      <c r="A82" s="6" t="n">
        <v>81</v>
      </c>
      <c r="B82" s="6" t="s">
        <v>48</v>
      </c>
      <c r="C82" s="7" t="s">
        <v>339</v>
      </c>
      <c r="D82" s="7" t="s">
        <v>163</v>
      </c>
      <c r="E82" s="7" t="s">
        <v>340</v>
      </c>
      <c r="F82" s="7" t="s">
        <v>27</v>
      </c>
      <c r="G82" s="7" t="s">
        <v>44</v>
      </c>
      <c r="H82" s="8" t="n">
        <v>45705</v>
      </c>
      <c r="I82" s="7" t="s">
        <v>29</v>
      </c>
      <c r="J82" s="9" t="n">
        <v>5000</v>
      </c>
      <c r="K82" s="9" t="n">
        <v>125000</v>
      </c>
      <c r="L82" s="6" t="n">
        <v>11</v>
      </c>
      <c r="M82" s="6" t="n">
        <v>4</v>
      </c>
      <c r="N82" s="6" t="n">
        <f aca="false">IF(OR(L82="",M82=""),"",L82+M82)</f>
        <v>15</v>
      </c>
      <c r="O82" s="6" t="n">
        <v>470</v>
      </c>
      <c r="P82" s="10" t="n">
        <f aca="false">IF(F82="牡",1,0)+IF(OR(MONTH(H82)=3,MONTH(H82)=4),1,0)+IF(LEFT(I82,4)="ノーザン",1,0)+IF(AND(L82&gt;=8,L82&lt;=11),1,0)+IF(AND(J82&gt;=2500,J82&lt;6000),1,0)+IF(O82&gt;=430,1,0)</f>
        <v>5</v>
      </c>
      <c r="Q82" s="7" t="s">
        <v>220</v>
      </c>
      <c r="R82" s="7" t="s">
        <v>239</v>
      </c>
      <c r="S82" s="6"/>
      <c r="T82" s="6" t="n">
        <v>157.5</v>
      </c>
      <c r="U82" s="6" t="n">
        <v>183.5</v>
      </c>
      <c r="V82" s="6" t="n">
        <v>20.6</v>
      </c>
      <c r="W82" s="11" t="s">
        <v>341</v>
      </c>
    </row>
    <row r="83" customFormat="false" ht="15" hidden="false" customHeight="true" outlineLevel="0" collapsed="false">
      <c r="A83" s="6" t="n">
        <v>82</v>
      </c>
      <c r="B83" s="6"/>
      <c r="C83" s="7" t="s">
        <v>342</v>
      </c>
      <c r="D83" s="7" t="s">
        <v>163</v>
      </c>
      <c r="E83" s="6" t="s">
        <v>214</v>
      </c>
      <c r="F83" s="7" t="s">
        <v>37</v>
      </c>
      <c r="G83" s="7" t="s">
        <v>59</v>
      </c>
      <c r="H83" s="8" t="n">
        <v>45671</v>
      </c>
      <c r="I83" s="7" t="s">
        <v>268</v>
      </c>
      <c r="J83" s="9" t="n">
        <v>1600</v>
      </c>
      <c r="K83" s="9" t="n">
        <v>40000</v>
      </c>
      <c r="L83" s="6" t="n">
        <v>6</v>
      </c>
      <c r="M83" s="6" t="n">
        <v>2</v>
      </c>
      <c r="N83" s="6" t="n">
        <f aca="false">IF(OR(L83="",M83=""),"",L83+M83)</f>
        <v>8</v>
      </c>
      <c r="O83" s="6" t="n">
        <v>435</v>
      </c>
      <c r="P83" s="10" t="n">
        <f aca="false">IF(F83="牡",1,0)+IF(OR(MONTH(H83)=3,MONTH(H83)=4),1,0)+IF(LEFT(I83,4)="ノーザン",1,0)+IF(AND(L83&gt;=8,L83&lt;=11),1,0)+IF(AND(J83&gt;=2500,J83&lt;6000),1,0)+IF(O83&gt;=430,1,0)</f>
        <v>1</v>
      </c>
      <c r="Q83" s="7" t="s">
        <v>220</v>
      </c>
      <c r="R83" s="7" t="s">
        <v>343</v>
      </c>
      <c r="S83" s="6"/>
      <c r="T83" s="6" t="n">
        <v>157</v>
      </c>
      <c r="U83" s="6" t="n">
        <v>176.5</v>
      </c>
      <c r="V83" s="6" t="n">
        <v>18.3</v>
      </c>
      <c r="W83" s="12" t="s">
        <v>344</v>
      </c>
    </row>
    <row r="84" customFormat="false" ht="15" hidden="false" customHeight="true" outlineLevel="0" collapsed="false">
      <c r="A84" s="6" t="n">
        <v>83</v>
      </c>
      <c r="B84" s="6" t="s">
        <v>48</v>
      </c>
      <c r="C84" s="7" t="s">
        <v>345</v>
      </c>
      <c r="D84" s="7" t="s">
        <v>168</v>
      </c>
      <c r="E84" s="7" t="s">
        <v>112</v>
      </c>
      <c r="F84" s="7" t="s">
        <v>27</v>
      </c>
      <c r="G84" s="7" t="s">
        <v>96</v>
      </c>
      <c r="H84" s="8" t="n">
        <v>45675</v>
      </c>
      <c r="I84" s="7" t="s">
        <v>29</v>
      </c>
      <c r="J84" s="9" t="n">
        <v>8000</v>
      </c>
      <c r="K84" s="9" t="n">
        <v>200000</v>
      </c>
      <c r="L84" s="6" t="n">
        <v>14</v>
      </c>
      <c r="M84" s="6" t="n">
        <v>8</v>
      </c>
      <c r="N84" s="6" t="n">
        <f aca="false">IF(OR(L84="",M84=""),"",L84+M84)</f>
        <v>22</v>
      </c>
      <c r="O84" s="6" t="n">
        <v>470</v>
      </c>
      <c r="P84" s="10" t="n">
        <f aca="false">IF(F84="牡",1,0)+IF(OR(MONTH(H84)=3,MONTH(H84)=4),1,0)+IF(LEFT(I84,4)="ノーザン",1,0)+IF(AND(L84&gt;=8,L84&lt;=11),1,0)+IF(AND(J84&gt;=2500,J84&lt;6000),1,0)+IF(O84&gt;=430,1,0)</f>
        <v>3</v>
      </c>
      <c r="Q84" s="7" t="s">
        <v>220</v>
      </c>
      <c r="R84" s="7" t="s">
        <v>346</v>
      </c>
      <c r="S84" s="6"/>
      <c r="T84" s="6" t="n">
        <v>157</v>
      </c>
      <c r="U84" s="6" t="n">
        <v>180</v>
      </c>
      <c r="V84" s="6" t="n">
        <v>21.3</v>
      </c>
      <c r="W84" s="11" t="s">
        <v>347</v>
      </c>
    </row>
    <row r="85" customFormat="false" ht="15" hidden="false" customHeight="true" outlineLevel="0" collapsed="false">
      <c r="A85" s="6" t="n">
        <v>84</v>
      </c>
      <c r="B85" s="6" t="s">
        <v>48</v>
      </c>
      <c r="C85" s="7" t="s">
        <v>348</v>
      </c>
      <c r="D85" s="7" t="s">
        <v>182</v>
      </c>
      <c r="E85" s="7" t="s">
        <v>54</v>
      </c>
      <c r="F85" s="7" t="s">
        <v>27</v>
      </c>
      <c r="G85" s="7" t="s">
        <v>96</v>
      </c>
      <c r="H85" s="8" t="n">
        <v>45763</v>
      </c>
      <c r="I85" s="7" t="s">
        <v>29</v>
      </c>
      <c r="J85" s="9" t="n">
        <v>4600</v>
      </c>
      <c r="K85" s="9" t="n">
        <v>115000</v>
      </c>
      <c r="L85" s="6" t="n">
        <v>16</v>
      </c>
      <c r="M85" s="6" t="n">
        <v>9</v>
      </c>
      <c r="N85" s="6" t="n">
        <f aca="false">IF(OR(L85="",M85=""),"",L85+M85)</f>
        <v>25</v>
      </c>
      <c r="O85" s="6" t="n">
        <v>429</v>
      </c>
      <c r="P85" s="10" t="n">
        <f aca="false">IF(F85="牡",1,0)+IF(OR(MONTH(H85)=3,MONTH(H85)=4),1,0)+IF(LEFT(I85,4)="ノーザン",1,0)+IF(AND(L85&gt;=8,L85&lt;=11),1,0)+IF(AND(J85&gt;=2500,J85&lt;6000),1,0)+IF(O85&gt;=430,1,0)</f>
        <v>4</v>
      </c>
      <c r="Q85" s="7" t="s">
        <v>220</v>
      </c>
      <c r="R85" s="7" t="s">
        <v>349</v>
      </c>
      <c r="S85" s="6"/>
      <c r="T85" s="6" t="n">
        <v>152.5</v>
      </c>
      <c r="U85" s="6" t="n">
        <v>170.5</v>
      </c>
      <c r="V85" s="6" t="n">
        <v>20</v>
      </c>
      <c r="W85" s="11" t="s">
        <v>350</v>
      </c>
    </row>
    <row r="86" customFormat="false" ht="15" hidden="false" customHeight="true" outlineLevel="0" collapsed="false">
      <c r="A86" s="6" t="n">
        <v>85</v>
      </c>
      <c r="B86" s="6" t="s">
        <v>48</v>
      </c>
      <c r="C86" s="7" t="s">
        <v>351</v>
      </c>
      <c r="D86" s="7" t="s">
        <v>190</v>
      </c>
      <c r="E86" s="7" t="s">
        <v>112</v>
      </c>
      <c r="F86" s="7" t="s">
        <v>27</v>
      </c>
      <c r="G86" s="7" t="s">
        <v>28</v>
      </c>
      <c r="H86" s="8" t="n">
        <v>45786</v>
      </c>
      <c r="I86" s="7" t="s">
        <v>29</v>
      </c>
      <c r="J86" s="9" t="n">
        <v>5000</v>
      </c>
      <c r="K86" s="9" t="n">
        <v>125000</v>
      </c>
      <c r="L86" s="6" t="n">
        <v>14</v>
      </c>
      <c r="M86" s="6" t="n">
        <v>8</v>
      </c>
      <c r="N86" s="6" t="n">
        <f aca="false">IF(OR(L86="",M86=""),"",L86+M86)</f>
        <v>22</v>
      </c>
      <c r="O86" s="6" t="n">
        <v>442</v>
      </c>
      <c r="P86" s="10" t="n">
        <f aca="false">IF(F86="牡",1,0)+IF(OR(MONTH(H86)=3,MONTH(H86)=4),1,0)+IF(LEFT(I86,4)="ノーザン",1,0)+IF(AND(L86&gt;=8,L86&lt;=11),1,0)+IF(AND(J86&gt;=2500,J86&lt;6000),1,0)+IF(O86&gt;=430,1,0)</f>
        <v>4</v>
      </c>
      <c r="Q86" s="7" t="s">
        <v>220</v>
      </c>
      <c r="R86" s="7" t="s">
        <v>352</v>
      </c>
      <c r="S86" s="6"/>
      <c r="T86" s="6" t="n">
        <v>151</v>
      </c>
      <c r="U86" s="6" t="n">
        <v>176</v>
      </c>
      <c r="V86" s="6" t="n">
        <v>20.4</v>
      </c>
      <c r="W86" s="11" t="s">
        <v>353</v>
      </c>
    </row>
    <row r="87" customFormat="false" ht="15" hidden="false" customHeight="true" outlineLevel="0" collapsed="false">
      <c r="A87" s="6" t="n">
        <v>86</v>
      </c>
      <c r="B87" s="6" t="s">
        <v>48</v>
      </c>
      <c r="C87" s="7" t="s">
        <v>354</v>
      </c>
      <c r="D87" s="7" t="s">
        <v>355</v>
      </c>
      <c r="E87" s="7" t="s">
        <v>356</v>
      </c>
      <c r="F87" s="7" t="s">
        <v>37</v>
      </c>
      <c r="G87" s="7" t="s">
        <v>59</v>
      </c>
      <c r="H87" s="8" t="n">
        <v>45734</v>
      </c>
      <c r="I87" s="7" t="s">
        <v>29</v>
      </c>
      <c r="J87" s="9" t="n">
        <v>4000</v>
      </c>
      <c r="K87" s="9" t="n">
        <v>100000</v>
      </c>
      <c r="L87" s="6" t="n">
        <v>14</v>
      </c>
      <c r="M87" s="6" t="n">
        <v>8</v>
      </c>
      <c r="N87" s="6" t="n">
        <f aca="false">IF(OR(L87="",M87=""),"",L87+M87)</f>
        <v>22</v>
      </c>
      <c r="O87" s="6" t="n">
        <v>436</v>
      </c>
      <c r="P87" s="10" t="n">
        <f aca="false">IF(F87="牡",1,0)+IF(OR(MONTH(H87)=3,MONTH(H87)=4),1,0)+IF(LEFT(I87,4)="ノーザン",1,0)+IF(AND(L87&gt;=8,L87&lt;=11),1,0)+IF(AND(J87&gt;=2500,J87&lt;6000),1,0)+IF(O87&gt;=430,1,0)</f>
        <v>4</v>
      </c>
      <c r="Q87" s="7" t="s">
        <v>220</v>
      </c>
      <c r="R87" s="7" t="s">
        <v>263</v>
      </c>
      <c r="S87" s="6" t="s">
        <v>39</v>
      </c>
      <c r="T87" s="6" t="n">
        <v>155</v>
      </c>
      <c r="U87" s="6" t="n">
        <v>176.5</v>
      </c>
      <c r="V87" s="6" t="n">
        <v>19.5</v>
      </c>
      <c r="W87" s="12" t="s">
        <v>357</v>
      </c>
    </row>
    <row r="88" customFormat="false" ht="15" hidden="false" customHeight="true" outlineLevel="0" collapsed="false">
      <c r="A88" s="6" t="n">
        <v>87</v>
      </c>
      <c r="B88" s="6" t="s">
        <v>48</v>
      </c>
      <c r="C88" s="7" t="s">
        <v>358</v>
      </c>
      <c r="D88" s="7" t="s">
        <v>359</v>
      </c>
      <c r="E88" s="7" t="s">
        <v>283</v>
      </c>
      <c r="F88" s="7" t="s">
        <v>37</v>
      </c>
      <c r="G88" s="7" t="s">
        <v>28</v>
      </c>
      <c r="H88" s="8" t="n">
        <v>45708</v>
      </c>
      <c r="I88" s="7" t="s">
        <v>29</v>
      </c>
      <c r="J88" s="9" t="n">
        <v>2400</v>
      </c>
      <c r="K88" s="9" t="n">
        <v>60000</v>
      </c>
      <c r="L88" s="6" t="n">
        <v>12</v>
      </c>
      <c r="M88" s="6" t="n">
        <v>6</v>
      </c>
      <c r="N88" s="6" t="n">
        <f aca="false">IF(OR(L88="",M88=""),"",L88+M88)</f>
        <v>18</v>
      </c>
      <c r="O88" s="6" t="n">
        <v>429</v>
      </c>
      <c r="P88" s="10" t="n">
        <f aca="false">IF(F88="牡",1,0)+IF(OR(MONTH(H88)=3,MONTH(H88)=4),1,0)+IF(LEFT(I88,4)="ノーザン",1,0)+IF(AND(L88&gt;=8,L88&lt;=11),1,0)+IF(AND(J88&gt;=2500,J88&lt;6000),1,0)+IF(O88&gt;=430,1,0)</f>
        <v>1</v>
      </c>
      <c r="Q88" s="7" t="s">
        <v>220</v>
      </c>
      <c r="R88" s="7" t="s">
        <v>360</v>
      </c>
      <c r="S88" s="6"/>
      <c r="T88" s="6" t="n">
        <v>152.5</v>
      </c>
      <c r="U88" s="6" t="n">
        <v>173</v>
      </c>
      <c r="V88" s="6" t="n">
        <v>19.5</v>
      </c>
      <c r="W88" s="12" t="s">
        <v>361</v>
      </c>
    </row>
    <row r="89" customFormat="false" ht="15" hidden="false" customHeight="true" outlineLevel="0" collapsed="false">
      <c r="A89" s="6" t="n">
        <v>88</v>
      </c>
      <c r="B89" s="6" t="s">
        <v>48</v>
      </c>
      <c r="C89" s="7" t="s">
        <v>362</v>
      </c>
      <c r="D89" s="7" t="s">
        <v>363</v>
      </c>
      <c r="E89" s="7" t="s">
        <v>364</v>
      </c>
      <c r="F89" s="7" t="s">
        <v>27</v>
      </c>
      <c r="G89" s="7" t="s">
        <v>28</v>
      </c>
      <c r="H89" s="8" t="n">
        <v>45715</v>
      </c>
      <c r="I89" s="7" t="s">
        <v>29</v>
      </c>
      <c r="J89" s="9" t="n">
        <v>2400</v>
      </c>
      <c r="K89" s="9" t="n">
        <v>60000</v>
      </c>
      <c r="L89" s="6" t="n">
        <v>9</v>
      </c>
      <c r="M89" s="6" t="n">
        <v>3</v>
      </c>
      <c r="N89" s="6" t="n">
        <f aca="false">IF(OR(L89="",M89=""),"",L89+M89)</f>
        <v>12</v>
      </c>
      <c r="O89" s="6" t="n">
        <v>460</v>
      </c>
      <c r="P89" s="10" t="n">
        <f aca="false">IF(F89="牡",1,0)+IF(OR(MONTH(H89)=3,MONTH(H89)=4),1,0)+IF(LEFT(I89,4)="ノーザン",1,0)+IF(AND(L89&gt;=8,L89&lt;=11),1,0)+IF(AND(J89&gt;=2500,J89&lt;6000),1,0)+IF(O89&gt;=430,1,0)</f>
        <v>4</v>
      </c>
      <c r="Q89" s="7" t="s">
        <v>220</v>
      </c>
      <c r="R89" s="7" t="s">
        <v>365</v>
      </c>
      <c r="S89" s="6"/>
      <c r="T89" s="6" t="n">
        <v>158.5</v>
      </c>
      <c r="U89" s="6" t="n">
        <v>178.5</v>
      </c>
      <c r="V89" s="6" t="n">
        <v>20.2</v>
      </c>
      <c r="W89" s="11" t="s">
        <v>366</v>
      </c>
    </row>
    <row r="90" customFormat="false" ht="15" hidden="false" customHeight="true" outlineLevel="0" collapsed="false">
      <c r="A90" s="6" t="n">
        <v>89</v>
      </c>
      <c r="B90" s="6"/>
      <c r="C90" s="7" t="s">
        <v>367</v>
      </c>
      <c r="D90" s="7" t="s">
        <v>171</v>
      </c>
      <c r="E90" s="6" t="s">
        <v>368</v>
      </c>
      <c r="F90" s="7" t="s">
        <v>37</v>
      </c>
      <c r="G90" s="7" t="s">
        <v>28</v>
      </c>
      <c r="H90" s="8" t="n">
        <v>45722</v>
      </c>
      <c r="I90" s="7" t="s">
        <v>29</v>
      </c>
      <c r="J90" s="9" t="n">
        <v>2000</v>
      </c>
      <c r="K90" s="9" t="n">
        <v>200000</v>
      </c>
      <c r="L90" s="6" t="n">
        <v>19</v>
      </c>
      <c r="M90" s="6" t="n">
        <v>10</v>
      </c>
      <c r="N90" s="6" t="n">
        <f aca="false">IF(OR(L90="",M90=""),"",L90+M90)</f>
        <v>29</v>
      </c>
      <c r="O90" s="6" t="n">
        <v>472</v>
      </c>
      <c r="P90" s="10" t="n">
        <f aca="false">IF(F90="牡",1,0)+IF(OR(MONTH(H90)=3,MONTH(H90)=4),1,0)+IF(LEFT(I90,4)="ノーザン",1,0)+IF(AND(L90&gt;=8,L90&lt;=11),1,0)+IF(AND(J90&gt;=2500,J90&lt;6000),1,0)+IF(O90&gt;=430,1,0)</f>
        <v>3</v>
      </c>
      <c r="Q90" s="7" t="s">
        <v>369</v>
      </c>
      <c r="R90" s="7" t="s">
        <v>370</v>
      </c>
      <c r="S90" s="6"/>
      <c r="T90" s="6" t="n">
        <v>162</v>
      </c>
      <c r="U90" s="6" t="n">
        <v>178</v>
      </c>
      <c r="V90" s="6" t="n">
        <v>21</v>
      </c>
      <c r="W90" s="12" t="s">
        <v>371</v>
      </c>
    </row>
    <row r="91" customFormat="false" ht="15" hidden="false" customHeight="true" outlineLevel="0" collapsed="false">
      <c r="A91" s="6" t="n">
        <v>90</v>
      </c>
      <c r="B91" s="6" t="s">
        <v>48</v>
      </c>
      <c r="C91" s="7" t="s">
        <v>372</v>
      </c>
      <c r="D91" s="7" t="s">
        <v>373</v>
      </c>
      <c r="E91" s="7" t="s">
        <v>51</v>
      </c>
      <c r="F91" s="7" t="s">
        <v>37</v>
      </c>
      <c r="G91" s="7" t="s">
        <v>44</v>
      </c>
      <c r="H91" s="8" t="n">
        <v>45681</v>
      </c>
      <c r="I91" s="7" t="s">
        <v>29</v>
      </c>
      <c r="J91" s="9" t="n">
        <v>2800</v>
      </c>
      <c r="K91" s="9" t="n">
        <v>280000</v>
      </c>
      <c r="L91" s="6" t="n">
        <v>12</v>
      </c>
      <c r="M91" s="6" t="n">
        <v>4</v>
      </c>
      <c r="N91" s="6" t="n">
        <f aca="false">IF(OR(L91="",M91=""),"",L91+M91)</f>
        <v>16</v>
      </c>
      <c r="O91" s="6" t="n">
        <v>490</v>
      </c>
      <c r="P91" s="10" t="n">
        <f aca="false">IF(F91="牡",1,0)+IF(OR(MONTH(H91)=3,MONTH(H91)=4),1,0)+IF(LEFT(I91,4)="ノーザン",1,0)+IF(AND(L91&gt;=8,L91&lt;=11),1,0)+IF(AND(J91&gt;=2500,J91&lt;6000),1,0)+IF(O91&gt;=430,1,0)</f>
        <v>3</v>
      </c>
      <c r="Q91" s="7" t="s">
        <v>369</v>
      </c>
      <c r="R91" s="7" t="s">
        <v>374</v>
      </c>
      <c r="S91" s="6"/>
      <c r="T91" s="6" t="n">
        <v>156</v>
      </c>
      <c r="U91" s="6" t="n">
        <v>185</v>
      </c>
      <c r="V91" s="6" t="n">
        <v>20.4</v>
      </c>
      <c r="W91" s="12" t="s">
        <v>375</v>
      </c>
    </row>
    <row r="92" customFormat="false" ht="15" hidden="false" customHeight="true" outlineLevel="0" collapsed="false">
      <c r="A92" s="6" t="n">
        <v>91</v>
      </c>
      <c r="B92" s="6"/>
      <c r="C92" s="7" t="s">
        <v>376</v>
      </c>
      <c r="D92" s="7" t="s">
        <v>303</v>
      </c>
      <c r="E92" s="7" t="s">
        <v>26</v>
      </c>
      <c r="F92" s="7" t="s">
        <v>27</v>
      </c>
      <c r="G92" s="7" t="s">
        <v>28</v>
      </c>
      <c r="H92" s="8" t="n">
        <v>45700</v>
      </c>
      <c r="I92" s="7" t="s">
        <v>29</v>
      </c>
      <c r="J92" s="9" t="n">
        <v>2500</v>
      </c>
      <c r="K92" s="9" t="n">
        <v>250000</v>
      </c>
      <c r="L92" s="6" t="n">
        <v>5</v>
      </c>
      <c r="M92" s="6" t="n">
        <v>1</v>
      </c>
      <c r="N92" s="6" t="n">
        <f aca="false">IF(OR(L92="",M92=""),"",L92+M92)</f>
        <v>6</v>
      </c>
      <c r="O92" s="6" t="n">
        <v>437</v>
      </c>
      <c r="P92" s="10" t="n">
        <f aca="false">IF(F92="牡",1,0)+IF(OR(MONTH(H92)=3,MONTH(H92)=4),1,0)+IF(LEFT(I92,4)="ノーザン",1,0)+IF(AND(L92&gt;=8,L92&lt;=11),1,0)+IF(AND(J92&gt;=2500,J92&lt;6000),1,0)+IF(O92&gt;=430,1,0)</f>
        <v>4</v>
      </c>
      <c r="Q92" s="7" t="s">
        <v>369</v>
      </c>
      <c r="R92" s="7" t="s">
        <v>377</v>
      </c>
      <c r="S92" s="6"/>
      <c r="T92" s="6" t="n">
        <v>151</v>
      </c>
      <c r="U92" s="6" t="n">
        <v>172</v>
      </c>
      <c r="V92" s="6" t="n">
        <v>20</v>
      </c>
      <c r="W92" s="11" t="s">
        <v>378</v>
      </c>
    </row>
    <row r="93" customFormat="false" ht="15" hidden="false" customHeight="true" outlineLevel="0" collapsed="false">
      <c r="A93" s="6" t="n">
        <v>92</v>
      </c>
      <c r="B93" s="6" t="s">
        <v>48</v>
      </c>
      <c r="C93" s="7" t="s">
        <v>379</v>
      </c>
      <c r="D93" s="7" t="s">
        <v>186</v>
      </c>
      <c r="E93" s="7" t="s">
        <v>54</v>
      </c>
      <c r="F93" s="7" t="s">
        <v>37</v>
      </c>
      <c r="G93" s="7" t="s">
        <v>28</v>
      </c>
      <c r="H93" s="8" t="n">
        <v>45784</v>
      </c>
      <c r="I93" s="7" t="s">
        <v>29</v>
      </c>
      <c r="J93" s="9" t="n">
        <v>1800</v>
      </c>
      <c r="K93" s="9" t="n">
        <v>180000</v>
      </c>
      <c r="L93" s="6" t="n">
        <v>17</v>
      </c>
      <c r="M93" s="6" t="n">
        <v>9</v>
      </c>
      <c r="N93" s="6" t="n">
        <f aca="false">IF(OR(L93="",M93=""),"",L93+M93)</f>
        <v>26</v>
      </c>
      <c r="O93" s="6" t="n">
        <v>417</v>
      </c>
      <c r="P93" s="10" t="n">
        <f aca="false">IF(F93="牡",1,0)+IF(OR(MONTH(H93)=3,MONTH(H93)=4),1,0)+IF(LEFT(I93,4)="ノーザン",1,0)+IF(AND(L93&gt;=8,L93&lt;=11),1,0)+IF(AND(J93&gt;=2500,J93&lt;6000),1,0)+IF(O93&gt;=430,1,0)</f>
        <v>1</v>
      </c>
      <c r="Q93" s="7" t="s">
        <v>369</v>
      </c>
      <c r="R93" s="7" t="s">
        <v>380</v>
      </c>
      <c r="S93" s="6"/>
      <c r="T93" s="6" t="n">
        <v>157</v>
      </c>
      <c r="U93" s="6" t="n">
        <v>174</v>
      </c>
      <c r="V93" s="6" t="n">
        <v>20</v>
      </c>
      <c r="W93" s="12" t="s">
        <v>361</v>
      </c>
    </row>
    <row r="94" customFormat="false" ht="15" hidden="false" customHeight="true" outlineLevel="0" collapsed="false">
      <c r="A94" s="6" t="n">
        <v>93</v>
      </c>
      <c r="B94" s="6"/>
      <c r="C94" s="7" t="s">
        <v>381</v>
      </c>
      <c r="D94" s="7" t="s">
        <v>382</v>
      </c>
      <c r="E94" s="7" t="s">
        <v>147</v>
      </c>
      <c r="F94" s="7" t="s">
        <v>37</v>
      </c>
      <c r="G94" s="7" t="s">
        <v>59</v>
      </c>
      <c r="H94" s="8" t="n">
        <v>45729</v>
      </c>
      <c r="I94" s="7" t="s">
        <v>29</v>
      </c>
      <c r="J94" s="9" t="n">
        <v>1800</v>
      </c>
      <c r="K94" s="9" t="n">
        <v>180000</v>
      </c>
      <c r="L94" s="6" t="n">
        <v>13</v>
      </c>
      <c r="M94" s="6" t="n">
        <v>5</v>
      </c>
      <c r="N94" s="6" t="n">
        <f aca="false">IF(OR(L94="",M94=""),"",L94+M94)</f>
        <v>18</v>
      </c>
      <c r="O94" s="6" t="n">
        <v>412</v>
      </c>
      <c r="P94" s="10" t="n">
        <f aca="false">IF(F94="牡",1,0)+IF(OR(MONTH(H94)=3,MONTH(H94)=4),1,0)+IF(LEFT(I94,4)="ノーザン",1,0)+IF(AND(L94&gt;=8,L94&lt;=11),1,0)+IF(AND(J94&gt;=2500,J94&lt;6000),1,0)+IF(O94&gt;=430,1,0)</f>
        <v>2</v>
      </c>
      <c r="Q94" s="7" t="s">
        <v>369</v>
      </c>
      <c r="R94" s="7" t="s">
        <v>380</v>
      </c>
      <c r="S94" s="6"/>
      <c r="T94" s="6" t="n">
        <v>153</v>
      </c>
      <c r="U94" s="6" t="n">
        <v>170</v>
      </c>
      <c r="V94" s="6" t="n">
        <v>19.6</v>
      </c>
      <c r="W94" s="12" t="s">
        <v>174</v>
      </c>
    </row>
    <row r="95" customFormat="false" ht="15" hidden="false" customHeight="true" outlineLevel="0" collapsed="false">
      <c r="A95" s="7" t="n">
        <v>94</v>
      </c>
      <c r="B95" s="6"/>
      <c r="C95" s="7" t="s">
        <v>383</v>
      </c>
      <c r="D95" s="7" t="s">
        <v>384</v>
      </c>
      <c r="E95" s="7" t="s">
        <v>207</v>
      </c>
      <c r="F95" s="7" t="s">
        <v>27</v>
      </c>
      <c r="G95" s="7" t="s">
        <v>59</v>
      </c>
      <c r="H95" s="8" t="n">
        <v>45719</v>
      </c>
      <c r="I95" s="7" t="s">
        <v>29</v>
      </c>
      <c r="J95" s="9" t="n">
        <v>2000</v>
      </c>
      <c r="K95" s="9" t="n">
        <v>200000</v>
      </c>
      <c r="L95" s="7" t="n">
        <v>19</v>
      </c>
      <c r="M95" s="7" t="n">
        <v>12</v>
      </c>
      <c r="N95" s="7" t="n">
        <f aca="false">IF(OR(L95="",M95=""),"",L95+M95)</f>
        <v>31</v>
      </c>
      <c r="O95" s="6" t="n">
        <v>476</v>
      </c>
      <c r="P95" s="10" t="n">
        <f aca="false">IF(F95="牡",1,0)+IF(OR(MONTH(H95)=3,MONTH(H95)=4),1,0)+IF(LEFT(I95,4)="ノーザン",1,0)+IF(AND(L95&gt;=8,L95&lt;=11),1,0)+IF(AND(J95&gt;=2500,J95&lt;6000),1,0)+IF(O95&gt;=430,1,0)</f>
        <v>4</v>
      </c>
      <c r="Q95" s="7" t="s">
        <v>369</v>
      </c>
      <c r="R95" s="7" t="s">
        <v>385</v>
      </c>
      <c r="S95" s="6"/>
      <c r="T95" s="6" t="n">
        <v>158.5</v>
      </c>
      <c r="U95" s="6" t="n">
        <v>179</v>
      </c>
      <c r="V95" s="6" t="n">
        <v>20.9</v>
      </c>
      <c r="W95" s="11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2"/>
    <col collapsed="false" customWidth="true" hidden="false" outlineLevel="0" max="3" min="3" style="1" width="55"/>
  </cols>
  <sheetData>
    <row r="1" customFormat="false" ht="15" hidden="false" customHeight="true" outlineLevel="0" collapsed="false">
      <c r="A1" s="3" t="s">
        <v>387</v>
      </c>
    </row>
    <row r="3" customFormat="false" ht="15" hidden="false" customHeight="true" outlineLevel="0" collapsed="false">
      <c r="A3" s="7" t="s">
        <v>388</v>
      </c>
    </row>
    <row r="4" customFormat="false" ht="15" hidden="false" customHeight="true" outlineLevel="0" collapsed="false">
      <c r="A4" s="7" t="s">
        <v>389</v>
      </c>
    </row>
    <row r="6" customFormat="false" ht="15" hidden="false" customHeight="true" outlineLevel="0" collapsed="false">
      <c r="A6" s="3" t="s">
        <v>390</v>
      </c>
      <c r="B6" s="7" t="s">
        <v>391</v>
      </c>
      <c r="C6" s="7" t="s">
        <v>392</v>
      </c>
    </row>
    <row r="7" customFormat="false" ht="15" hidden="false" customHeight="true" outlineLevel="0" collapsed="false">
      <c r="A7" s="6" t="s">
        <v>393</v>
      </c>
      <c r="B7" s="7" t="s">
        <v>394</v>
      </c>
      <c r="C7" s="7" t="s">
        <v>395</v>
      </c>
    </row>
    <row r="8" customFormat="false" ht="14.25" hidden="false" customHeight="true" outlineLevel="0" collapsed="false">
      <c r="A8" s="6" t="s">
        <v>396</v>
      </c>
      <c r="B8" s="6" t="s">
        <v>397</v>
      </c>
      <c r="C8" s="6" t="s">
        <v>398</v>
      </c>
    </row>
    <row r="9" customFormat="false" ht="15" hidden="false" customHeight="true" outlineLevel="0" collapsed="false">
      <c r="A9" s="6" t="s">
        <v>399</v>
      </c>
      <c r="B9" s="7" t="s">
        <v>400</v>
      </c>
      <c r="C9" s="7" t="s">
        <v>401</v>
      </c>
    </row>
    <row r="10" customFormat="false" ht="14.25" hidden="false" customHeight="true" outlineLevel="0" collapsed="false">
      <c r="A10" s="6" t="s">
        <v>402</v>
      </c>
      <c r="B10" s="6" t="s">
        <v>403</v>
      </c>
      <c r="C10" s="6" t="s">
        <v>404</v>
      </c>
    </row>
    <row r="11" customFormat="false" ht="14.25" hidden="false" customHeight="true" outlineLevel="0" collapsed="false">
      <c r="A11" s="6" t="s">
        <v>405</v>
      </c>
      <c r="B11" s="6" t="s">
        <v>406</v>
      </c>
      <c r="C11" s="6" t="s">
        <v>407</v>
      </c>
    </row>
    <row r="12" customFormat="false" ht="14.25" hidden="false" customHeight="true" outlineLevel="0" collapsed="false">
      <c r="A12" s="6" t="s">
        <v>408</v>
      </c>
      <c r="B12" s="7" t="s">
        <v>409</v>
      </c>
      <c r="C12" s="6" t="s">
        <v>410</v>
      </c>
    </row>
    <row r="14" customFormat="false" ht="15" hidden="false" customHeight="true" outlineLevel="0" collapsed="false">
      <c r="A14" s="3" t="s">
        <v>411</v>
      </c>
    </row>
    <row r="15" customFormat="false" ht="14.25" hidden="false" customHeight="true" outlineLevel="0" collapsed="false">
      <c r="A15" s="7" t="s">
        <v>412</v>
      </c>
      <c r="B15" s="7" t="s">
        <v>413</v>
      </c>
      <c r="C15" s="7" t="s">
        <v>414</v>
      </c>
    </row>
    <row r="16" customFormat="false" ht="15" hidden="false" customHeight="true" outlineLevel="0" collapsed="false">
      <c r="A16" s="7" t="s">
        <v>415</v>
      </c>
      <c r="B16" s="7" t="s">
        <v>416</v>
      </c>
    </row>
    <row r="17" customFormat="false" ht="14.25" hidden="false" customHeight="true" outlineLevel="0" collapsed="false">
      <c r="A17" s="7" t="s">
        <v>417</v>
      </c>
      <c r="B17" s="7" t="s">
        <v>418</v>
      </c>
      <c r="C17" s="7" t="s">
        <v>419</v>
      </c>
    </row>
    <row r="19" customFormat="false" ht="15" hidden="false" customHeight="true" outlineLevel="0" collapsed="false">
      <c r="A19" s="3" t="s">
        <v>420</v>
      </c>
    </row>
    <row r="20" customFormat="false" ht="15" hidden="false" customHeight="true" outlineLevel="0" collapsed="false">
      <c r="A20" s="7" t="s">
        <v>72</v>
      </c>
      <c r="B20" s="7" t="s">
        <v>421</v>
      </c>
      <c r="C20" s="7" t="s">
        <v>422</v>
      </c>
    </row>
    <row r="21" customFormat="false" ht="15" hidden="false" customHeight="true" outlineLevel="0" collapsed="false">
      <c r="A21" s="7" t="s">
        <v>135</v>
      </c>
      <c r="B21" s="7" t="s">
        <v>423</v>
      </c>
      <c r="C21" s="7" t="s">
        <v>424</v>
      </c>
    </row>
    <row r="22" customFormat="false" ht="15" hidden="false" customHeight="true" outlineLevel="0" collapsed="false">
      <c r="A22" s="7" t="s">
        <v>26</v>
      </c>
      <c r="B22" s="7" t="s">
        <v>425</v>
      </c>
      <c r="C22" s="7" t="s">
        <v>426</v>
      </c>
    </row>
    <row r="23" customFormat="false" ht="15" hidden="false" customHeight="true" outlineLevel="0" collapsed="false">
      <c r="A23" s="7" t="s">
        <v>89</v>
      </c>
      <c r="B23" s="7" t="s">
        <v>427</v>
      </c>
      <c r="C23" s="7" t="s">
        <v>428</v>
      </c>
    </row>
    <row r="24" customFormat="false" ht="15" hidden="false" customHeight="true" outlineLevel="0" collapsed="false">
      <c r="A24" s="7" t="s">
        <v>159</v>
      </c>
      <c r="B24" s="7" t="s">
        <v>429</v>
      </c>
    </row>
    <row r="25" customFormat="false" ht="15" hidden="false" customHeight="true" outlineLevel="0" collapsed="false">
      <c r="A25" s="7" t="s">
        <v>151</v>
      </c>
      <c r="B25" s="7" t="s">
        <v>430</v>
      </c>
      <c r="C25" s="7" t="s">
        <v>431</v>
      </c>
    </row>
    <row r="26" customFormat="false" ht="15" hidden="false" customHeight="true" outlineLevel="0" collapsed="false">
      <c r="A26" s="7" t="s">
        <v>63</v>
      </c>
      <c r="B26" s="7" t="s">
        <v>432</v>
      </c>
      <c r="C26" s="7" t="s">
        <v>433</v>
      </c>
    </row>
    <row r="28" customFormat="false" ht="15" hidden="false" customHeight="true" outlineLevel="0" collapsed="false">
      <c r="A28" s="3" t="s">
        <v>434</v>
      </c>
    </row>
    <row r="29" customFormat="false" ht="15" hidden="false" customHeight="true" outlineLevel="0" collapsed="false">
      <c r="A29" s="7" t="s">
        <v>435</v>
      </c>
    </row>
    <row r="30" customFormat="false" ht="15" hidden="false" customHeight="true" outlineLevel="0" collapsed="false">
      <c r="A30" s="7" t="s">
        <v>436</v>
      </c>
    </row>
    <row r="31" customFormat="false" ht="15" hidden="false" customHeight="true" outlineLevel="0" collapsed="false">
      <c r="A31" s="7" t="s">
        <v>437</v>
      </c>
    </row>
    <row r="32" customFormat="false" ht="15" hidden="false" customHeight="true" outlineLevel="0" collapsed="false">
      <c r="A32" s="7" t="s">
        <v>438</v>
      </c>
    </row>
    <row r="33" customFormat="false" ht="15" hidden="false" customHeight="true" outlineLevel="0" collapsed="false">
      <c r="A33" s="7" t="s">
        <v>439</v>
      </c>
    </row>
    <row r="34" customFormat="false" ht="15" hidden="false" customHeight="true" outlineLevel="0" collapsed="false">
      <c r="A34" s="7" t="s">
        <v>440</v>
      </c>
    </row>
    <row r="35" customFormat="false" ht="15" hidden="false" customHeight="true" outlineLevel="0" collapsed="false">
      <c r="A35" s="7" t="s">
        <v>441</v>
      </c>
    </row>
    <row r="37" customFormat="false" ht="15" hidden="false" customHeight="true" outlineLevel="0" collapsed="false">
      <c r="A37" s="3" t="s">
        <v>442</v>
      </c>
    </row>
    <row r="38" customFormat="false" ht="15" hidden="false" customHeight="true" outlineLevel="0" collapsed="false">
      <c r="A38" s="7" t="s">
        <v>443</v>
      </c>
    </row>
    <row r="39" customFormat="false" ht="15" hidden="false" customHeight="true" outlineLevel="0" collapsed="false">
      <c r="A39" s="7" t="s">
        <v>444</v>
      </c>
    </row>
    <row r="40" customFormat="false" ht="15" hidden="false" customHeight="true" outlineLevel="0" collapsed="false">
      <c r="A40" s="7" t="s">
        <v>445</v>
      </c>
    </row>
    <row r="42" customFormat="false" ht="15" hidden="false" customHeight="true" outlineLevel="0" collapsed="false">
      <c r="A42" s="3" t="s">
        <v>446</v>
      </c>
    </row>
    <row r="43" customFormat="false" ht="15" hidden="false" customHeight="true" outlineLevel="0" collapsed="false">
      <c r="A43" s="7" t="s">
        <v>447</v>
      </c>
      <c r="B43" s="6" t="s">
        <v>448</v>
      </c>
      <c r="C43" s="7" t="s">
        <v>449</v>
      </c>
    </row>
    <row r="44" customFormat="false" ht="15" hidden="false" customHeight="true" outlineLevel="0" collapsed="false">
      <c r="A44" s="7" t="s">
        <v>450</v>
      </c>
      <c r="B44" s="6" t="s">
        <v>451</v>
      </c>
      <c r="C44" s="7" t="s">
        <v>452</v>
      </c>
    </row>
    <row r="45" customFormat="false" ht="15" hidden="false" customHeight="true" outlineLevel="0" collapsed="false">
      <c r="A45" s="7" t="s">
        <v>453</v>
      </c>
      <c r="B45" s="6" t="s">
        <v>454</v>
      </c>
      <c r="C45" s="7" t="s">
        <v>455</v>
      </c>
    </row>
    <row r="46" customFormat="false" ht="15" hidden="false" customHeight="true" outlineLevel="0" collapsed="false">
      <c r="A46" s="7" t="s">
        <v>456</v>
      </c>
      <c r="B46" s="6" t="s">
        <v>457</v>
      </c>
      <c r="C46" s="7" t="s">
        <v>458</v>
      </c>
    </row>
    <row r="47" customFormat="false" ht="14.25" hidden="false" customHeight="true" outlineLevel="0" collapsed="false">
      <c r="A47" s="7" t="s">
        <v>459</v>
      </c>
      <c r="B47" s="7" t="s">
        <v>460</v>
      </c>
      <c r="C47" s="7" t="s">
        <v>461</v>
      </c>
    </row>
    <row r="48" customFormat="false" ht="14.25" hidden="false" customHeight="true" outlineLevel="0" collapsed="false">
      <c r="A48" s="7" t="s">
        <v>462</v>
      </c>
      <c r="B48" s="6" t="s">
        <v>463</v>
      </c>
      <c r="C48" s="7" t="s">
        <v>464</v>
      </c>
    </row>
    <row r="49" customFormat="false" ht="15" hidden="false" customHeight="true" outlineLevel="0" collapsed="false">
      <c r="A49" s="7" t="s">
        <v>465</v>
      </c>
      <c r="B49" s="6" t="s">
        <v>466</v>
      </c>
    </row>
    <row r="50" customFormat="false" ht="15" hidden="false" customHeight="true" outlineLevel="0" collapsed="false">
      <c r="A50" s="7" t="s">
        <v>467</v>
      </c>
      <c r="B50" s="6" t="s">
        <v>468</v>
      </c>
      <c r="C50" s="7" t="s">
        <v>469</v>
      </c>
    </row>
    <row r="51" customFormat="false" ht="15" hidden="false" customHeight="true" outlineLevel="0" collapsed="false">
      <c r="A51" s="7" t="s">
        <v>470</v>
      </c>
      <c r="B51" s="7" t="s">
        <v>471</v>
      </c>
    </row>
    <row r="52" customFormat="false" ht="15" hidden="false" customHeight="true" outlineLevel="0" collapsed="false">
      <c r="A52" s="7" t="s">
        <v>472</v>
      </c>
    </row>
    <row r="53" customFormat="false" ht="15" hidden="false" customHeight="true" outlineLevel="0" collapsed="false">
      <c r="A53" s="7" t="s">
        <v>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7.8"/>
    <col collapsed="false" customWidth="true" hidden="false" outlineLevel="0" max="2" min="2" style="1" width="30.1"/>
    <col collapsed="false" customWidth="true" hidden="false" outlineLevel="0" max="16" min="15" style="1" width="13.9"/>
    <col collapsed="false" customWidth="true" hidden="false" outlineLevel="0" max="19" min="19" style="1" width="13.9"/>
  </cols>
  <sheetData>
    <row r="1" customFormat="false" ht="15" hidden="false" customHeight="true" outlineLevel="0" collapsed="false">
      <c r="A1" s="6"/>
      <c r="B1" s="6"/>
      <c r="C1" s="6"/>
      <c r="D1" s="6"/>
      <c r="E1" s="6"/>
      <c r="F1" s="6"/>
      <c r="G1" s="13" t="n">
        <v>0.234</v>
      </c>
      <c r="H1" s="6"/>
      <c r="I1" s="6"/>
      <c r="J1" s="6"/>
      <c r="K1" s="6"/>
      <c r="L1" s="6"/>
      <c r="M1" s="6"/>
      <c r="N1" s="7" t="s">
        <v>474</v>
      </c>
      <c r="O1" s="6"/>
      <c r="P1" s="7" t="s">
        <v>475</v>
      </c>
      <c r="Q1" s="6"/>
      <c r="R1" s="7" t="s">
        <v>476</v>
      </c>
      <c r="S1" s="6"/>
      <c r="T1" s="7" t="s">
        <v>477</v>
      </c>
      <c r="U1" s="6"/>
      <c r="V1" s="6"/>
    </row>
    <row r="2" customFormat="false" ht="15" hidden="false" customHeight="true" outlineLevel="0" collapsed="false">
      <c r="A2" s="7" t="s">
        <v>478</v>
      </c>
      <c r="B2" s="7" t="s">
        <v>2</v>
      </c>
      <c r="C2" s="7" t="s">
        <v>479</v>
      </c>
      <c r="D2" s="7" t="s">
        <v>480</v>
      </c>
      <c r="E2" s="7" t="s">
        <v>481</v>
      </c>
      <c r="F2" s="7" t="s">
        <v>482</v>
      </c>
      <c r="G2" s="7" t="s">
        <v>479</v>
      </c>
      <c r="H2" s="7" t="s">
        <v>480</v>
      </c>
      <c r="I2" s="7" t="s">
        <v>481</v>
      </c>
      <c r="J2" s="7" t="s">
        <v>482</v>
      </c>
      <c r="K2" s="7" t="s">
        <v>483</v>
      </c>
      <c r="L2" s="7" t="s">
        <v>484</v>
      </c>
      <c r="M2" s="7" t="s">
        <v>485</v>
      </c>
      <c r="N2" s="7" t="s">
        <v>486</v>
      </c>
      <c r="O2" s="7" t="s">
        <v>487</v>
      </c>
      <c r="P2" s="7" t="s">
        <v>486</v>
      </c>
      <c r="Q2" s="7" t="s">
        <v>487</v>
      </c>
      <c r="R2" s="7" t="s">
        <v>486</v>
      </c>
      <c r="S2" s="7" t="s">
        <v>487</v>
      </c>
      <c r="T2" s="7" t="s">
        <v>486</v>
      </c>
      <c r="U2" s="7" t="s">
        <v>488</v>
      </c>
      <c r="V2" s="7" t="s">
        <v>489</v>
      </c>
    </row>
    <row r="3" customFormat="false" ht="15" hidden="false" customHeight="true" outlineLevel="0" collapsed="false">
      <c r="A3" s="6"/>
      <c r="B3" s="6"/>
      <c r="C3" s="6"/>
      <c r="D3" s="6"/>
      <c r="E3" s="6"/>
      <c r="F3" s="6"/>
      <c r="G3" s="6" t="str">
        <f aca="false">IF($C3="","",C3/$G$1)</f>
        <v/>
      </c>
      <c r="H3" s="6" t="str">
        <f aca="false">IF($C3="","",D3/$G$1)</f>
        <v/>
      </c>
      <c r="I3" s="6" t="str">
        <f aca="false">IF($C3="","",E3/$G$1)</f>
        <v/>
      </c>
      <c r="J3" s="6" t="str">
        <f aca="false">IF($C3="","",F3/$G$1)</f>
        <v/>
      </c>
      <c r="K3" s="6" t="str">
        <f aca="false">IF($C3="","",H3+J3)</f>
        <v/>
      </c>
      <c r="L3" s="6" t="str">
        <f aca="false">IF($C3="","",H3+I3)</f>
        <v/>
      </c>
      <c r="M3" s="14" t="str">
        <f aca="false">IF($C3="","",L3/G3)</f>
        <v/>
      </c>
      <c r="N3" s="15" t="str">
        <f aca="false">IF($C3="","",200/H3)</f>
        <v/>
      </c>
      <c r="O3" s="6" t="str">
        <f aca="false">IF($C3="","",IF(H3&gt;200,0,200-H3))</f>
        <v/>
      </c>
      <c r="P3" s="15" t="str">
        <f aca="false">IF($C3="","",O3/I3)</f>
        <v/>
      </c>
      <c r="Q3" s="6" t="str">
        <f aca="false">IF($C3="","",IF(IF(I3&gt;O3,0,O3-I3)&gt;200,200,IF(I3&gt;O3,0,O3-I3)+200))</f>
        <v/>
      </c>
      <c r="R3" s="15" t="str">
        <f aca="false">IF($C3="","",Q3/IF(H3&lt;200,J3,H3-200+J3))</f>
        <v/>
      </c>
      <c r="S3" s="6" t="str">
        <f aca="false">IF($C3="","",IF(IF(H3&lt;200,J3,H3-200+J3)&gt;Q3,0,Q3-IF(H3&lt;200,J3,H3-200+J3)))</f>
        <v/>
      </c>
      <c r="T3" s="15" t="str">
        <f aca="false">IF($C3="","",S3/(IF(IF(H3&gt;200,I3,I3-(200-H3))&lt;0,0,IF(H3&gt;200,I3,I3-(200-H3)))+(G3-SUM(H3:J3))))</f>
        <v/>
      </c>
      <c r="U3" s="6"/>
      <c r="V3" s="6"/>
    </row>
    <row r="4" customFormat="false" ht="15" hidden="false" customHeight="true" outlineLevel="0" collapsed="false">
      <c r="A4" s="6"/>
      <c r="B4" s="6"/>
      <c r="C4" s="6"/>
      <c r="D4" s="6"/>
      <c r="E4" s="6"/>
      <c r="F4" s="6"/>
      <c r="G4" s="6" t="str">
        <f aca="false">IF($C4="","",C4/$G$1)</f>
        <v/>
      </c>
      <c r="H4" s="6" t="str">
        <f aca="false">IF($C4="","",D4/$G$1)</f>
        <v/>
      </c>
      <c r="I4" s="6" t="str">
        <f aca="false">IF($C4="","",E4/$G$1)</f>
        <v/>
      </c>
      <c r="J4" s="6" t="str">
        <f aca="false">IF($C4="","",F4/$G$1)</f>
        <v/>
      </c>
      <c r="K4" s="6" t="str">
        <f aca="false">IF($C4="","",H4+J4)</f>
        <v/>
      </c>
      <c r="L4" s="6" t="str">
        <f aca="false">IF($C4="","",H4+I4)</f>
        <v/>
      </c>
      <c r="M4" s="14" t="str">
        <f aca="false">IF($C4="","",L4/G4)</f>
        <v/>
      </c>
      <c r="N4" s="15" t="str">
        <f aca="false">IF($C4="","",200/H4)</f>
        <v/>
      </c>
      <c r="O4" s="6" t="str">
        <f aca="false">IF($C4="","",IF(H4&gt;200,0,200-H4))</f>
        <v/>
      </c>
      <c r="P4" s="15" t="str">
        <f aca="false">IF($C4="","",O4/I4)</f>
        <v/>
      </c>
      <c r="Q4" s="6" t="str">
        <f aca="false">IF($C4="","",IF(IF(I4&gt;O4,0,O4-I4)&gt;200,200,IF(I4&gt;O4,0,O4-I4)+200))</f>
        <v/>
      </c>
      <c r="R4" s="15" t="str">
        <f aca="false">IF($C4="","",Q4/IF(H4&lt;200,J4,H4-200+J4))</f>
        <v/>
      </c>
      <c r="S4" s="6" t="str">
        <f aca="false">IF($C4="","",IF(IF(H4&lt;200,J4,H4-200+J4)&gt;Q4,0,Q4-IF(H4&lt;200,J4,H4-200+J4)))</f>
        <v/>
      </c>
      <c r="T4" s="15" t="str">
        <f aca="false">IF($C4="","",S4/(IF(IF(H4&gt;200,I4,I4-(200-H4))&lt;0,0,IF(H4&gt;200,I4,I4-(200-H4)))+(G4-SUM(H4:J4))))</f>
        <v/>
      </c>
      <c r="U4" s="6"/>
      <c r="V4" s="6"/>
    </row>
    <row r="5" customFormat="false" ht="15" hidden="false" customHeight="true" outlineLevel="0" collapsed="false">
      <c r="A5" s="6"/>
      <c r="B5" s="6"/>
      <c r="C5" s="6"/>
      <c r="D5" s="6"/>
      <c r="E5" s="6"/>
      <c r="F5" s="6"/>
      <c r="G5" s="6" t="str">
        <f aca="false">IF($C5="","",C5/$G$1)</f>
        <v/>
      </c>
      <c r="H5" s="6" t="str">
        <f aca="false">IF($C5="","",D5/$G$1)</f>
        <v/>
      </c>
      <c r="I5" s="6" t="str">
        <f aca="false">IF($C5="","",E5/$G$1)</f>
        <v/>
      </c>
      <c r="J5" s="6" t="str">
        <f aca="false">IF($C5="","",F5/$G$1)</f>
        <v/>
      </c>
      <c r="K5" s="6" t="str">
        <f aca="false">IF($C5="","",H5+J5)</f>
        <v/>
      </c>
      <c r="L5" s="6" t="str">
        <f aca="false">IF($C5="","",H5+I5)</f>
        <v/>
      </c>
      <c r="M5" s="14" t="str">
        <f aca="false">IF($C5="","",L5/G5)</f>
        <v/>
      </c>
      <c r="N5" s="15" t="str">
        <f aca="false">IF($C5="","",200/H5)</f>
        <v/>
      </c>
      <c r="O5" s="6" t="str">
        <f aca="false">IF($C5="","",IF(H5&gt;200,0,200-H5))</f>
        <v/>
      </c>
      <c r="P5" s="15" t="str">
        <f aca="false">IF($C5="","",O5/I5)</f>
        <v/>
      </c>
      <c r="Q5" s="6" t="str">
        <f aca="false">IF($C5="","",IF(IF(I5&gt;O5,0,O5-I5)&gt;200,200,IF(I5&gt;O5,0,O5-I5)+200))</f>
        <v/>
      </c>
      <c r="R5" s="15" t="str">
        <f aca="false">IF($C5="","",Q5/IF(H5&lt;200,J5,H5-200+J5))</f>
        <v/>
      </c>
      <c r="S5" s="6" t="str">
        <f aca="false">IF($C5="","",IF(IF(H5&lt;200,J5,H5-200+J5)&gt;Q5,0,Q5-IF(H5&lt;200,J5,H5-200+J5)))</f>
        <v/>
      </c>
      <c r="T5" s="15" t="str">
        <f aca="false">IF($C5="","",S5/(IF(IF(H5&gt;200,I5,I5-(200-H5))&lt;0,0,IF(H5&gt;200,I5,I5-(200-H5)))+(G5-SUM(H5:J5))))</f>
        <v/>
      </c>
      <c r="U5" s="6"/>
      <c r="V5" s="6"/>
    </row>
    <row r="6" customFormat="false" ht="15" hidden="false" customHeight="true" outlineLevel="0" collapsed="false">
      <c r="A6" s="6"/>
      <c r="B6" s="6"/>
      <c r="C6" s="6"/>
      <c r="D6" s="6"/>
      <c r="E6" s="6"/>
      <c r="F6" s="6"/>
      <c r="G6" s="6" t="str">
        <f aca="false">IF($C6="","",C6/$G$1)</f>
        <v/>
      </c>
      <c r="H6" s="6" t="str">
        <f aca="false">IF($C6="","",D6/$G$1)</f>
        <v/>
      </c>
      <c r="I6" s="6" t="str">
        <f aca="false">IF($C6="","",E6/$G$1)</f>
        <v/>
      </c>
      <c r="J6" s="6" t="str">
        <f aca="false">IF($C6="","",F6/$G$1)</f>
        <v/>
      </c>
      <c r="K6" s="6" t="str">
        <f aca="false">IF($C6="","",H6+J6)</f>
        <v/>
      </c>
      <c r="L6" s="6" t="str">
        <f aca="false">IF($C6="","",H6+I6)</f>
        <v/>
      </c>
      <c r="M6" s="14" t="str">
        <f aca="false">IF($C6="","",L6/G6)</f>
        <v/>
      </c>
      <c r="N6" s="15" t="str">
        <f aca="false">IF($C6="","",200/H6)</f>
        <v/>
      </c>
      <c r="O6" s="6" t="str">
        <f aca="false">IF($C6="","",IF(H6&gt;200,0,200-H6))</f>
        <v/>
      </c>
      <c r="P6" s="15" t="str">
        <f aca="false">IF($C6="","",O6/I6)</f>
        <v/>
      </c>
      <c r="Q6" s="6" t="str">
        <f aca="false">IF($C6="","",IF(IF(I6&gt;O6,0,O6-I6)&gt;200,200,IF(I6&gt;O6,0,O6-I6)+200))</f>
        <v/>
      </c>
      <c r="R6" s="15" t="str">
        <f aca="false">IF($C6="","",Q6/IF(H6&lt;200,J6,H6-200+J6))</f>
        <v/>
      </c>
      <c r="S6" s="6" t="str">
        <f aca="false">IF($C6="","",IF(IF(H6&lt;200,J6,H6-200+J6)&gt;Q6,0,Q6-IF(H6&lt;200,J6,H6-200+J6)))</f>
        <v/>
      </c>
      <c r="T6" s="15" t="str">
        <f aca="false">IF($C6="","",S6/(IF(IF(H6&gt;200,I6,I6-(200-H6))&lt;0,0,IF(H6&gt;200,I6,I6-(200-H6)))+(G6-SUM(H6:J6))))</f>
        <v/>
      </c>
      <c r="U6" s="6"/>
      <c r="V6" s="6"/>
    </row>
    <row r="7" customFormat="false" ht="15" hidden="false" customHeight="true" outlineLevel="0" collapsed="false">
      <c r="A7" s="6"/>
      <c r="B7" s="6"/>
      <c r="C7" s="6"/>
      <c r="D7" s="6"/>
      <c r="E7" s="6"/>
      <c r="F7" s="6"/>
      <c r="G7" s="6" t="str">
        <f aca="false">IF($C7="","",C7/$G$1)</f>
        <v/>
      </c>
      <c r="H7" s="6" t="str">
        <f aca="false">IF($C7="","",D7/$G$1)</f>
        <v/>
      </c>
      <c r="I7" s="6" t="str">
        <f aca="false">IF($C7="","",E7/$G$1)</f>
        <v/>
      </c>
      <c r="J7" s="6" t="str">
        <f aca="false">IF($C7="","",F7/$G$1)</f>
        <v/>
      </c>
      <c r="K7" s="6" t="str">
        <f aca="false">IF($C7="","",H7+J7)</f>
        <v/>
      </c>
      <c r="L7" s="6" t="str">
        <f aca="false">IF($C7="","",H7+I7)</f>
        <v/>
      </c>
      <c r="M7" s="14" t="str">
        <f aca="false">IF($C7="","",L7/G7)</f>
        <v/>
      </c>
      <c r="N7" s="15" t="str">
        <f aca="false">IF($C7="","",200/H7)</f>
        <v/>
      </c>
      <c r="O7" s="6" t="str">
        <f aca="false">IF($C7="","",IF(H7&gt;200,0,200-H7))</f>
        <v/>
      </c>
      <c r="P7" s="15" t="str">
        <f aca="false">IF($C7="","",O7/I7)</f>
        <v/>
      </c>
      <c r="Q7" s="6" t="str">
        <f aca="false">IF($C7="","",IF(IF(I7&gt;O7,0,O7-I7)&gt;200,200,IF(I7&gt;O7,0,O7-I7)+200))</f>
        <v/>
      </c>
      <c r="R7" s="15" t="str">
        <f aca="false">IF($C7="","",Q7/IF(H7&lt;200,J7,H7-200+J7))</f>
        <v/>
      </c>
      <c r="S7" s="6" t="str">
        <f aca="false">IF($C7="","",IF(IF(H7&lt;200,J7,H7-200+J7)&gt;Q7,0,Q7-IF(H7&lt;200,J7,H7-200+J7)))</f>
        <v/>
      </c>
      <c r="T7" s="15" t="str">
        <f aca="false">IF($C7="","",S7/(IF(IF(H7&gt;200,I7,I7-(200-H7))&lt;0,0,IF(H7&gt;200,I7,I7-(200-H7)))+(G7-SUM(H7:J7))))</f>
        <v/>
      </c>
      <c r="U7" s="6"/>
      <c r="V7" s="6"/>
    </row>
    <row r="8" customFormat="false" ht="15" hidden="false" customHeight="true" outlineLevel="0" collapsed="false">
      <c r="A8" s="6"/>
      <c r="B8" s="6"/>
      <c r="C8" s="6"/>
      <c r="D8" s="6"/>
      <c r="E8" s="6"/>
      <c r="F8" s="6"/>
      <c r="G8" s="6" t="str">
        <f aca="false">IF($C8="","",C8/$G$1)</f>
        <v/>
      </c>
      <c r="H8" s="6" t="str">
        <f aca="false">IF($C8="","",D8/$G$1)</f>
        <v/>
      </c>
      <c r="I8" s="6" t="str">
        <f aca="false">IF($C8="","",E8/$G$1)</f>
        <v/>
      </c>
      <c r="J8" s="6" t="str">
        <f aca="false">IF($C8="","",F8/$G$1)</f>
        <v/>
      </c>
      <c r="K8" s="6" t="str">
        <f aca="false">IF($C8="","",H8+J8)</f>
        <v/>
      </c>
      <c r="L8" s="6" t="str">
        <f aca="false">IF($C8="","",H8+I8)</f>
        <v/>
      </c>
      <c r="M8" s="14" t="str">
        <f aca="false">IF($C8="","",L8/G8)</f>
        <v/>
      </c>
      <c r="N8" s="15" t="str">
        <f aca="false">IF($C8="","",200/H8)</f>
        <v/>
      </c>
      <c r="O8" s="6" t="str">
        <f aca="false">IF($C8="","",IF(H8&gt;200,0,200-H8))</f>
        <v/>
      </c>
      <c r="P8" s="15" t="str">
        <f aca="false">IF($C8="","",O8/I8)</f>
        <v/>
      </c>
      <c r="Q8" s="6" t="str">
        <f aca="false">IF($C8="","",IF(IF(I8&gt;O8,0,O8-I8)&gt;200,200,IF(I8&gt;O8,0,O8-I8)+200))</f>
        <v/>
      </c>
      <c r="R8" s="15" t="str">
        <f aca="false">IF($C8="","",Q8/IF(H8&lt;200,J8,H8-200+J8))</f>
        <v/>
      </c>
      <c r="S8" s="6" t="str">
        <f aca="false">IF($C8="","",IF(IF(H8&lt;200,J8,H8-200+J8)&gt;Q8,0,Q8-IF(H8&lt;200,J8,H8-200+J8)))</f>
        <v/>
      </c>
      <c r="T8" s="15" t="str">
        <f aca="false">IF($C8="","",S8/(IF(IF(H8&gt;200,I8,I8-(200-H8))&lt;0,0,IF(H8&gt;200,I8,I8-(200-H8)))+(G8-SUM(H8:J8))))</f>
        <v/>
      </c>
      <c r="U8" s="6"/>
      <c r="V8" s="6"/>
    </row>
    <row r="9" customFormat="false" ht="15" hidden="false" customHeight="true" outlineLevel="0" collapsed="false">
      <c r="A9" s="6"/>
      <c r="B9" s="6"/>
      <c r="C9" s="6"/>
      <c r="D9" s="6"/>
      <c r="E9" s="6"/>
      <c r="F9" s="6"/>
      <c r="G9" s="6" t="str">
        <f aca="false">IF($C9="","",C9/$G$1)</f>
        <v/>
      </c>
      <c r="H9" s="6" t="str">
        <f aca="false">IF($C9="","",D9/$G$1)</f>
        <v/>
      </c>
      <c r="I9" s="6" t="str">
        <f aca="false">IF($C9="","",E9/$G$1)</f>
        <v/>
      </c>
      <c r="J9" s="6" t="str">
        <f aca="false">IF($C9="","",F9/$G$1)</f>
        <v/>
      </c>
      <c r="K9" s="6" t="str">
        <f aca="false">IF($C9="","",H9+J9)</f>
        <v/>
      </c>
      <c r="L9" s="6" t="str">
        <f aca="false">IF($C9="","",H9+I9)</f>
        <v/>
      </c>
      <c r="M9" s="14" t="str">
        <f aca="false">IF($C9="","",L9/G9)</f>
        <v/>
      </c>
      <c r="N9" s="15" t="str">
        <f aca="false">IF($C9="","",200/H9)</f>
        <v/>
      </c>
      <c r="O9" s="6" t="str">
        <f aca="false">IF($C9="","",IF(H9&gt;200,0,200-H9))</f>
        <v/>
      </c>
      <c r="P9" s="15" t="str">
        <f aca="false">IF($C9="","",O9/I9)</f>
        <v/>
      </c>
      <c r="Q9" s="6" t="str">
        <f aca="false">IF($C9="","",IF(IF(I9&gt;O9,0,O9-I9)&gt;200,200,IF(I9&gt;O9,0,O9-I9)+200))</f>
        <v/>
      </c>
      <c r="R9" s="15" t="str">
        <f aca="false">IF($C9="","",Q9/IF(H9&lt;200,J9,H9-200+J9))</f>
        <v/>
      </c>
      <c r="S9" s="6" t="str">
        <f aca="false">IF($C9="","",IF(IF(H9&lt;200,J9,H9-200+J9)&gt;Q9,0,Q9-IF(H9&lt;200,J9,H9-200+J9)))</f>
        <v/>
      </c>
      <c r="T9" s="15" t="str">
        <f aca="false">IF($C9="","",S9/(IF(IF(H9&gt;200,I9,I9-(200-H9))&lt;0,0,IF(H9&gt;200,I9,I9-(200-H9)))+(G9-SUM(H9:J9))))</f>
        <v/>
      </c>
      <c r="U9" s="6"/>
      <c r="V9" s="6"/>
    </row>
    <row r="10" customFormat="false" ht="15" hidden="false" customHeight="true" outlineLevel="0" collapsed="false">
      <c r="A10" s="6"/>
      <c r="B10" s="6"/>
      <c r="C10" s="6"/>
      <c r="D10" s="6"/>
      <c r="E10" s="6"/>
      <c r="F10" s="6"/>
      <c r="G10" s="6" t="str">
        <f aca="false">IF($C10="","",C10/$G$1)</f>
        <v/>
      </c>
      <c r="H10" s="6" t="str">
        <f aca="false">IF($C10="","",D10/$G$1)</f>
        <v/>
      </c>
      <c r="I10" s="6" t="str">
        <f aca="false">IF($C10="","",E10/$G$1)</f>
        <v/>
      </c>
      <c r="J10" s="6" t="str">
        <f aca="false">IF($C10="","",F10/$G$1)</f>
        <v/>
      </c>
      <c r="K10" s="6" t="str">
        <f aca="false">IF($C10="","",H10+J10)</f>
        <v/>
      </c>
      <c r="L10" s="6" t="str">
        <f aca="false">IF($C10="","",H10+I10)</f>
        <v/>
      </c>
      <c r="M10" s="14" t="str">
        <f aca="false">IF($C10="","",L10/G10)</f>
        <v/>
      </c>
      <c r="N10" s="15" t="str">
        <f aca="false">IF($C10="","",200/H10)</f>
        <v/>
      </c>
      <c r="O10" s="6" t="str">
        <f aca="false">IF($C10="","",IF(H10&gt;200,0,200-H10))</f>
        <v/>
      </c>
      <c r="P10" s="15" t="str">
        <f aca="false">IF($C10="","",O10/I10)</f>
        <v/>
      </c>
      <c r="Q10" s="6" t="str">
        <f aca="false">IF($C10="","",IF(IF(I10&gt;O10,0,O10-I10)&gt;200,200,IF(I10&gt;O10,0,O10-I10)+200))</f>
        <v/>
      </c>
      <c r="R10" s="15" t="str">
        <f aca="false">IF($C10="","",Q10/IF(H10&lt;200,J10,H10-200+J10))</f>
        <v/>
      </c>
      <c r="S10" s="6" t="str">
        <f aca="false">IF($C10="","",IF(IF(H10&lt;200,J10,H10-200+J10)&gt;Q10,0,Q10-IF(H10&lt;200,J10,H10-200+J10)))</f>
        <v/>
      </c>
      <c r="T10" s="15" t="str">
        <f aca="false">IF($C10="","",S10/(IF(IF(H10&gt;200,I10,I10-(200-H10))&lt;0,0,IF(H10&gt;200,I10,I10-(200-H10)))+(G10-SUM(H10:J10))))</f>
        <v/>
      </c>
      <c r="U10" s="6"/>
      <c r="V10" s="6"/>
    </row>
    <row r="11" customFormat="false" ht="15" hidden="false" customHeight="true" outlineLevel="0" collapsed="false">
      <c r="A11" s="6"/>
      <c r="B11" s="6"/>
      <c r="C11" s="6"/>
      <c r="D11" s="6"/>
      <c r="E11" s="6"/>
      <c r="F11" s="6"/>
      <c r="G11" s="6" t="str">
        <f aca="false">IF($C11="","",C11/$G$1)</f>
        <v/>
      </c>
      <c r="H11" s="6" t="str">
        <f aca="false">IF($C11="","",D11/$G$1)</f>
        <v/>
      </c>
      <c r="I11" s="6" t="str">
        <f aca="false">IF($C11="","",E11/$G$1)</f>
        <v/>
      </c>
      <c r="J11" s="6" t="str">
        <f aca="false">IF($C11="","",F11/$G$1)</f>
        <v/>
      </c>
      <c r="K11" s="6" t="str">
        <f aca="false">IF($C11="","",H11+J11)</f>
        <v/>
      </c>
      <c r="L11" s="6" t="str">
        <f aca="false">IF($C11="","",H11+I11)</f>
        <v/>
      </c>
      <c r="M11" s="14" t="str">
        <f aca="false">IF($C11="","",L11/G11)</f>
        <v/>
      </c>
      <c r="N11" s="15" t="str">
        <f aca="false">IF($C11="","",200/H11)</f>
        <v/>
      </c>
      <c r="O11" s="6" t="str">
        <f aca="false">IF($C11="","",IF(H11&gt;200,0,200-H11))</f>
        <v/>
      </c>
      <c r="P11" s="15" t="str">
        <f aca="false">IF($C11="","",O11/I11)</f>
        <v/>
      </c>
      <c r="Q11" s="6" t="str">
        <f aca="false">IF($C11="","",IF(IF(I11&gt;O11,0,O11-I11)&gt;200,200,IF(I11&gt;O11,0,O11-I11)+200))</f>
        <v/>
      </c>
      <c r="R11" s="15" t="str">
        <f aca="false">IF($C11="","",Q11/IF(H11&lt;200,J11,H11-200+J11))</f>
        <v/>
      </c>
      <c r="S11" s="6" t="str">
        <f aca="false">IF($C11="","",IF(IF(H11&lt;200,J11,H11-200+J11)&gt;Q11,0,Q11-IF(H11&lt;200,J11,H11-200+J11)))</f>
        <v/>
      </c>
      <c r="T11" s="15" t="str">
        <f aca="false">IF($C11="","",S11/(IF(IF(H11&gt;200,I11,I11-(200-H11))&lt;0,0,IF(H11&gt;200,I11,I11-(200-H11)))+(G11-SUM(H11:J11))))</f>
        <v/>
      </c>
      <c r="U11" s="6"/>
      <c r="V11" s="6"/>
    </row>
    <row r="12" customFormat="false" ht="15" hidden="false" customHeight="true" outlineLevel="0" collapsed="false">
      <c r="A12" s="6"/>
      <c r="B12" s="6"/>
      <c r="C12" s="6"/>
      <c r="D12" s="6"/>
      <c r="E12" s="6"/>
      <c r="F12" s="6"/>
      <c r="G12" s="6" t="str">
        <f aca="false">IF($C12="","",C12/$G$1)</f>
        <v/>
      </c>
      <c r="H12" s="6" t="str">
        <f aca="false">IF($C12="","",D12/$G$1)</f>
        <v/>
      </c>
      <c r="I12" s="6" t="str">
        <f aca="false">IF($C12="","",E12/$G$1)</f>
        <v/>
      </c>
      <c r="J12" s="6" t="str">
        <f aca="false">IF($C12="","",F12/$G$1)</f>
        <v/>
      </c>
      <c r="K12" s="6" t="str">
        <f aca="false">IF($C12="","",H12+J12)</f>
        <v/>
      </c>
      <c r="L12" s="6" t="str">
        <f aca="false">IF($C12="","",H12+I12)</f>
        <v/>
      </c>
      <c r="M12" s="14" t="str">
        <f aca="false">IF($C12="","",L12/G12)</f>
        <v/>
      </c>
      <c r="N12" s="15" t="str">
        <f aca="false">IF($C12="","",200/H12)</f>
        <v/>
      </c>
      <c r="O12" s="6" t="str">
        <f aca="false">IF($C12="","",IF(H12&gt;200,0,200-H12))</f>
        <v/>
      </c>
      <c r="P12" s="15" t="str">
        <f aca="false">IF($C12="","",O12/I12)</f>
        <v/>
      </c>
      <c r="Q12" s="6" t="str">
        <f aca="false">IF($C12="","",IF(IF(I12&gt;O12,0,O12-I12)&gt;200,200,IF(I12&gt;O12,0,O12-I12)+200))</f>
        <v/>
      </c>
      <c r="R12" s="15" t="str">
        <f aca="false">IF($C12="","",Q12/IF(H12&lt;200,J12,H12-200+J12))</f>
        <v/>
      </c>
      <c r="S12" s="6" t="str">
        <f aca="false">IF($C12="","",IF(IF(H12&lt;200,J12,H12-200+J12)&gt;Q12,0,Q12-IF(H12&lt;200,J12,H12-200+J12)))</f>
        <v/>
      </c>
      <c r="T12" s="15" t="str">
        <f aca="false">IF($C12="","",S12/(IF(IF(H12&gt;200,I12,I12-(200-H12))&lt;0,0,IF(H12&gt;200,I12,I12-(200-H12)))+(G12-SUM(H12:J12))))</f>
        <v/>
      </c>
      <c r="U12" s="6"/>
      <c r="V12" s="6"/>
    </row>
    <row r="13" customFormat="false" ht="15" hidden="false" customHeight="true" outlineLevel="0" collapsed="false">
      <c r="A13" s="6"/>
      <c r="B13" s="6"/>
      <c r="C13" s="6"/>
      <c r="D13" s="6"/>
      <c r="E13" s="6"/>
      <c r="F13" s="6"/>
      <c r="G13" s="6" t="str">
        <f aca="false">IF($C13="","",C13/$G$1)</f>
        <v/>
      </c>
      <c r="H13" s="6" t="str">
        <f aca="false">IF($C13="","",D13/$G$1)</f>
        <v/>
      </c>
      <c r="I13" s="6" t="str">
        <f aca="false">IF($C13="","",E13/$G$1)</f>
        <v/>
      </c>
      <c r="J13" s="6" t="str">
        <f aca="false">IF($C13="","",F13/$G$1)</f>
        <v/>
      </c>
      <c r="K13" s="6" t="str">
        <f aca="false">IF($C13="","",H13+J13)</f>
        <v/>
      </c>
      <c r="L13" s="6" t="str">
        <f aca="false">IF($C13="","",H13+I13)</f>
        <v/>
      </c>
      <c r="M13" s="14" t="str">
        <f aca="false">IF($C13="","",L13/G13)</f>
        <v/>
      </c>
      <c r="N13" s="15" t="str">
        <f aca="false">IF($C13="","",200/H13)</f>
        <v/>
      </c>
      <c r="O13" s="6" t="str">
        <f aca="false">IF($C13="","",IF(H13&gt;200,0,200-H13))</f>
        <v/>
      </c>
      <c r="P13" s="15" t="str">
        <f aca="false">IF($C13="","",O13/I13)</f>
        <v/>
      </c>
      <c r="Q13" s="6" t="str">
        <f aca="false">IF($C13="","",IF(IF(I13&gt;O13,0,O13-I13)&gt;200,200,IF(I13&gt;O13,0,O13-I13)+200))</f>
        <v/>
      </c>
      <c r="R13" s="15" t="str">
        <f aca="false">IF($C13="","",Q13/IF(H13&lt;200,J13,H13-200+J13))</f>
        <v/>
      </c>
      <c r="S13" s="6" t="str">
        <f aca="false">IF($C13="","",IF(IF(H13&lt;200,J13,H13-200+J13)&gt;Q13,0,Q13-IF(H13&lt;200,J13,H13-200+J13)))</f>
        <v/>
      </c>
      <c r="T13" s="15" t="str">
        <f aca="false">IF($C13="","",S13/(IF(IF(H13&gt;200,I13,I13-(200-H13))&lt;0,0,IF(H13&gt;200,I13,I13-(200-H13)))+(G13-SUM(H13:J13))))</f>
        <v/>
      </c>
      <c r="U13" s="6"/>
      <c r="V13" s="6"/>
    </row>
    <row r="14" customFormat="false" ht="15" hidden="false" customHeight="true" outlineLevel="0" collapsed="false">
      <c r="A14" s="6"/>
      <c r="B14" s="6"/>
      <c r="C14" s="6"/>
      <c r="D14" s="6"/>
      <c r="E14" s="6"/>
      <c r="F14" s="6"/>
      <c r="G14" s="6" t="str">
        <f aca="false">IF($C14="","",C14/$G$1)</f>
        <v/>
      </c>
      <c r="H14" s="6" t="str">
        <f aca="false">IF($C14="","",D14/$G$1)</f>
        <v/>
      </c>
      <c r="I14" s="6" t="str">
        <f aca="false">IF($C14="","",E14/$G$1)</f>
        <v/>
      </c>
      <c r="J14" s="6" t="str">
        <f aca="false">IF($C14="","",F14/$G$1)</f>
        <v/>
      </c>
      <c r="K14" s="6" t="str">
        <f aca="false">IF($C14="","",H14+J14)</f>
        <v/>
      </c>
      <c r="L14" s="6" t="str">
        <f aca="false">IF($C14="","",H14+I14)</f>
        <v/>
      </c>
      <c r="M14" s="14" t="str">
        <f aca="false">IF($C14="","",L14/G14)</f>
        <v/>
      </c>
      <c r="N14" s="15" t="str">
        <f aca="false">IF($C14="","",200/H14)</f>
        <v/>
      </c>
      <c r="O14" s="6" t="str">
        <f aca="false">IF($C14="","",IF(H14&gt;200,0,200-H14))</f>
        <v/>
      </c>
      <c r="P14" s="15" t="str">
        <f aca="false">IF($C14="","",O14/I14)</f>
        <v/>
      </c>
      <c r="Q14" s="6" t="str">
        <f aca="false">IF($C14="","",IF(IF(I14&gt;O14,0,O14-I14)&gt;200,200,IF(I14&gt;O14,0,O14-I14)+200))</f>
        <v/>
      </c>
      <c r="R14" s="15" t="str">
        <f aca="false">IF($C14="","",Q14/IF(H14&lt;200,J14,H14-200+J14))</f>
        <v/>
      </c>
      <c r="S14" s="6" t="str">
        <f aca="false">IF($C14="","",IF(IF(H14&lt;200,J14,H14-200+J14)&gt;Q14,0,Q14-IF(H14&lt;200,J14,H14-200+J14)))</f>
        <v/>
      </c>
      <c r="T14" s="15" t="str">
        <f aca="false">IF($C14="","",S14/(IF(IF(H14&gt;200,I14,I14-(200-H14))&lt;0,0,IF(H14&gt;200,I14,I14-(200-H14)))+(G14-SUM(H14:J14))))</f>
        <v/>
      </c>
      <c r="U14" s="6"/>
      <c r="V14" s="6"/>
    </row>
    <row r="15" customFormat="false" ht="15" hidden="false" customHeight="true" outlineLevel="0" collapsed="false">
      <c r="A15" s="6"/>
      <c r="B15" s="6"/>
      <c r="C15" s="6"/>
      <c r="D15" s="6"/>
      <c r="E15" s="6"/>
      <c r="F15" s="6"/>
      <c r="G15" s="6" t="str">
        <f aca="false">IF($C15="","",C15/$G$1)</f>
        <v/>
      </c>
      <c r="H15" s="6" t="str">
        <f aca="false">IF($C15="","",D15/$G$1)</f>
        <v/>
      </c>
      <c r="I15" s="6" t="str">
        <f aca="false">IF($C15="","",E15/$G$1)</f>
        <v/>
      </c>
      <c r="J15" s="6" t="str">
        <f aca="false">IF($C15="","",F15/$G$1)</f>
        <v/>
      </c>
      <c r="K15" s="6" t="str">
        <f aca="false">IF($C15="","",H15+J15)</f>
        <v/>
      </c>
      <c r="L15" s="6" t="str">
        <f aca="false">IF($C15="","",H15+I15)</f>
        <v/>
      </c>
      <c r="M15" s="14" t="str">
        <f aca="false">IF($C15="","",L15/G15)</f>
        <v/>
      </c>
      <c r="N15" s="15" t="str">
        <f aca="false">IF($C15="","",200/H15)</f>
        <v/>
      </c>
      <c r="O15" s="6" t="str">
        <f aca="false">IF($C15="","",IF(H15&gt;200,0,200-H15))</f>
        <v/>
      </c>
      <c r="P15" s="15" t="str">
        <f aca="false">IF($C15="","",O15/I15)</f>
        <v/>
      </c>
      <c r="Q15" s="6" t="str">
        <f aca="false">IF($C15="","",IF(IF(I15&gt;O15,0,O15-I15)&gt;200,200,IF(I15&gt;O15,0,O15-I15)+200))</f>
        <v/>
      </c>
      <c r="R15" s="15" t="str">
        <f aca="false">IF($C15="","",Q15/IF(H15&lt;200,J15,H15-200+J15))</f>
        <v/>
      </c>
      <c r="S15" s="6" t="str">
        <f aca="false">IF($C15="","",IF(IF(H15&lt;200,J15,H15-200+J15)&gt;Q15,0,Q15-IF(H15&lt;200,J15,H15-200+J15)))</f>
        <v/>
      </c>
      <c r="T15" s="15" t="str">
        <f aca="false">IF($C15="","",S15/(IF(IF(H15&gt;200,I15,I15-(200-H15))&lt;0,0,IF(H15&gt;200,I15,I15-(200-H15)))+(G15-SUM(H15:J15))))</f>
        <v/>
      </c>
      <c r="U15" s="6"/>
      <c r="V15" s="6"/>
    </row>
    <row r="16" customFormat="false" ht="15" hidden="false" customHeight="true" outlineLevel="0" collapsed="false">
      <c r="A16" s="6"/>
      <c r="B16" s="6"/>
      <c r="C16" s="6"/>
      <c r="D16" s="6"/>
      <c r="E16" s="6"/>
      <c r="F16" s="6"/>
      <c r="G16" s="6" t="str">
        <f aca="false">IF($C16="","",C16/$G$1)</f>
        <v/>
      </c>
      <c r="H16" s="6" t="str">
        <f aca="false">IF($C16="","",D16/$G$1)</f>
        <v/>
      </c>
      <c r="I16" s="6" t="str">
        <f aca="false">IF($C16="","",E16/$G$1)</f>
        <v/>
      </c>
      <c r="J16" s="6" t="str">
        <f aca="false">IF($C16="","",F16/$G$1)</f>
        <v/>
      </c>
      <c r="K16" s="6" t="str">
        <f aca="false">IF($C16="","",H16+J16)</f>
        <v/>
      </c>
      <c r="L16" s="6" t="str">
        <f aca="false">IF($C16="","",H16+I16)</f>
        <v/>
      </c>
      <c r="M16" s="14" t="str">
        <f aca="false">IF($C16="","",L16/G16)</f>
        <v/>
      </c>
      <c r="N16" s="15" t="str">
        <f aca="false">IF($C16="","",200/H16)</f>
        <v/>
      </c>
      <c r="O16" s="6" t="str">
        <f aca="false">IF($C16="","",IF(H16&gt;200,0,200-H16))</f>
        <v/>
      </c>
      <c r="P16" s="15" t="str">
        <f aca="false">IF($C16="","",O16/I16)</f>
        <v/>
      </c>
      <c r="Q16" s="6" t="str">
        <f aca="false">IF($C16="","",IF(IF(I16&gt;O16,0,O16-I16)&gt;200,200,IF(I16&gt;O16,0,O16-I16)+200))</f>
        <v/>
      </c>
      <c r="R16" s="15" t="str">
        <f aca="false">IF($C16="","",Q16/IF(H16&lt;200,J16,H16-200+J16))</f>
        <v/>
      </c>
      <c r="S16" s="6" t="str">
        <f aca="false">IF($C16="","",IF(IF(H16&lt;200,J16,H16-200+J16)&gt;Q16,0,Q16-IF(H16&lt;200,J16,H16-200+J16)))</f>
        <v/>
      </c>
      <c r="T16" s="15" t="str">
        <f aca="false">IF($C16="","",S16/(IF(IF(H16&gt;200,I16,I16-(200-H16))&lt;0,0,IF(H16&gt;200,I16,I16-(200-H16)))+(G16-SUM(H16:J16))))</f>
        <v/>
      </c>
      <c r="U16" s="6"/>
      <c r="V16" s="6"/>
    </row>
    <row r="17" customFormat="false" ht="15" hidden="false" customHeight="true" outlineLevel="0" collapsed="false">
      <c r="A17" s="6"/>
      <c r="B17" s="6"/>
      <c r="C17" s="6"/>
      <c r="D17" s="6"/>
      <c r="E17" s="6"/>
      <c r="F17" s="6"/>
      <c r="G17" s="6" t="str">
        <f aca="false">IF($C17="","",C17/$G$1)</f>
        <v/>
      </c>
      <c r="H17" s="6" t="str">
        <f aca="false">IF($C17="","",D17/$G$1)</f>
        <v/>
      </c>
      <c r="I17" s="6" t="str">
        <f aca="false">IF($C17="","",E17/$G$1)</f>
        <v/>
      </c>
      <c r="J17" s="6" t="str">
        <f aca="false">IF($C17="","",F17/$G$1)</f>
        <v/>
      </c>
      <c r="K17" s="6" t="str">
        <f aca="false">IF($C17="","",H17+J17)</f>
        <v/>
      </c>
      <c r="L17" s="6" t="str">
        <f aca="false">IF($C17="","",H17+I17)</f>
        <v/>
      </c>
      <c r="M17" s="14" t="str">
        <f aca="false">IF($C17="","",L17/G17)</f>
        <v/>
      </c>
      <c r="N17" s="15" t="str">
        <f aca="false">IF($C17="","",200/H17)</f>
        <v/>
      </c>
      <c r="O17" s="6" t="str">
        <f aca="false">IF($C17="","",IF(H17&gt;200,0,200-H17))</f>
        <v/>
      </c>
      <c r="P17" s="15" t="str">
        <f aca="false">IF($C17="","",O17/I17)</f>
        <v/>
      </c>
      <c r="Q17" s="6" t="str">
        <f aca="false">IF($C17="","",IF(IF(I17&gt;O17,0,O17-I17)&gt;200,200,IF(I17&gt;O17,0,O17-I17)+200))</f>
        <v/>
      </c>
      <c r="R17" s="15" t="str">
        <f aca="false">IF($C17="","",Q17/IF(H17&lt;200,J17,H17-200+J17))</f>
        <v/>
      </c>
      <c r="S17" s="6" t="str">
        <f aca="false">IF($C17="","",IF(IF(H17&lt;200,J17,H17-200+J17)&gt;Q17,0,Q17-IF(H17&lt;200,J17,H17-200+J17)))</f>
        <v/>
      </c>
      <c r="T17" s="15" t="str">
        <f aca="false">IF($C17="","",S17/(IF(IF(H17&gt;200,I17,I17-(200-H17))&lt;0,0,IF(H17&gt;200,I17,I17-(200-H17)))+(G17-SUM(H17:J17))))</f>
        <v/>
      </c>
      <c r="U17" s="6"/>
      <c r="V17" s="6"/>
    </row>
    <row r="18" customFormat="false" ht="15" hidden="false" customHeight="true" outlineLevel="0" collapsed="false">
      <c r="A18" s="6"/>
      <c r="B18" s="6"/>
      <c r="C18" s="6"/>
      <c r="D18" s="6"/>
      <c r="E18" s="6"/>
      <c r="F18" s="6"/>
      <c r="G18" s="6" t="str">
        <f aca="false">IF($C18="","",C18/$G$1)</f>
        <v/>
      </c>
      <c r="H18" s="6" t="str">
        <f aca="false">IF($C18="","",D18/$G$1)</f>
        <v/>
      </c>
      <c r="I18" s="6" t="str">
        <f aca="false">IF($C18="","",E18/$G$1)</f>
        <v/>
      </c>
      <c r="J18" s="6" t="str">
        <f aca="false">IF($C18="","",F18/$G$1)</f>
        <v/>
      </c>
      <c r="K18" s="6" t="str">
        <f aca="false">IF($C18="","",H18+J18)</f>
        <v/>
      </c>
      <c r="L18" s="6" t="str">
        <f aca="false">IF($C18="","",H18+I18)</f>
        <v/>
      </c>
      <c r="M18" s="14" t="str">
        <f aca="false">IF($C18="","",L18/G18)</f>
        <v/>
      </c>
      <c r="N18" s="15" t="str">
        <f aca="false">IF($C18="","",200/H18)</f>
        <v/>
      </c>
      <c r="O18" s="6" t="str">
        <f aca="false">IF($C18="","",IF(H18&gt;200,0,200-H18))</f>
        <v/>
      </c>
      <c r="P18" s="15" t="str">
        <f aca="false">IF($C18="","",O18/I18)</f>
        <v/>
      </c>
      <c r="Q18" s="6" t="str">
        <f aca="false">IF($C18="","",IF(IF(I18&gt;O18,0,O18-I18)&gt;200,200,IF(I18&gt;O18,0,O18-I18)+200))</f>
        <v/>
      </c>
      <c r="R18" s="15" t="str">
        <f aca="false">IF($C18="","",Q18/IF(H18&lt;200,J18,H18-200+J18))</f>
        <v/>
      </c>
      <c r="S18" s="6" t="str">
        <f aca="false">IF($C18="","",IF(IF(H18&lt;200,J18,H18-200+J18)&gt;Q18,0,Q18-IF(H18&lt;200,J18,H18-200+J18)))</f>
        <v/>
      </c>
      <c r="T18" s="15" t="str">
        <f aca="false">IF($C18="","",S18/(IF(IF(H18&gt;200,I18,I18-(200-H18))&lt;0,0,IF(H18&gt;200,I18,I18-(200-H18)))+(G18-SUM(H18:J18))))</f>
        <v/>
      </c>
      <c r="U18" s="6"/>
      <c r="V18" s="6"/>
    </row>
    <row r="19" customFormat="false" ht="15" hidden="false" customHeight="true" outlineLevel="0" collapsed="false">
      <c r="A19" s="6"/>
      <c r="B19" s="6"/>
      <c r="C19" s="6"/>
      <c r="D19" s="6"/>
      <c r="E19" s="6"/>
      <c r="F19" s="6"/>
      <c r="G19" s="6" t="str">
        <f aca="false">IF($C19="","",C19/$G$1)</f>
        <v/>
      </c>
      <c r="H19" s="6" t="str">
        <f aca="false">IF($C19="","",D19/$G$1)</f>
        <v/>
      </c>
      <c r="I19" s="6" t="str">
        <f aca="false">IF($C19="","",E19/$G$1)</f>
        <v/>
      </c>
      <c r="J19" s="6" t="str">
        <f aca="false">IF($C19="","",F19/$G$1)</f>
        <v/>
      </c>
      <c r="K19" s="6" t="str">
        <f aca="false">IF($C19="","",H19+J19)</f>
        <v/>
      </c>
      <c r="L19" s="6" t="str">
        <f aca="false">IF($C19="","",H19+I19)</f>
        <v/>
      </c>
      <c r="M19" s="14" t="str">
        <f aca="false">IF($C19="","",L19/G19)</f>
        <v/>
      </c>
      <c r="N19" s="15" t="str">
        <f aca="false">IF($C19="","",200/H19)</f>
        <v/>
      </c>
      <c r="O19" s="6" t="str">
        <f aca="false">IF($C19="","",IF(H19&gt;200,0,200-H19))</f>
        <v/>
      </c>
      <c r="P19" s="15" t="str">
        <f aca="false">IF($C19="","",O19/I19)</f>
        <v/>
      </c>
      <c r="Q19" s="6" t="str">
        <f aca="false">IF($C19="","",IF(IF(I19&gt;O19,0,O19-I19)&gt;200,200,IF(I19&gt;O19,0,O19-I19)+200))</f>
        <v/>
      </c>
      <c r="R19" s="15" t="str">
        <f aca="false">IF($C19="","",Q19/IF(H19&lt;200,J19,H19-200+J19))</f>
        <v/>
      </c>
      <c r="S19" s="6" t="str">
        <f aca="false">IF($C19="","",IF(IF(H19&lt;200,J19,H19-200+J19)&gt;Q19,0,Q19-IF(H19&lt;200,J19,H19-200+J19)))</f>
        <v/>
      </c>
      <c r="T19" s="15" t="str">
        <f aca="false">IF($C19="","",S19/(IF(IF(H19&gt;200,I19,I19-(200-H19))&lt;0,0,IF(H19&gt;200,I19,I19-(200-H19)))+(G19-SUM(H19:J19))))</f>
        <v/>
      </c>
      <c r="U19" s="6"/>
      <c r="V19" s="6"/>
    </row>
    <row r="20" customFormat="false" ht="15" hidden="false" customHeight="true" outlineLevel="0" collapsed="false">
      <c r="A20" s="6"/>
      <c r="B20" s="6"/>
      <c r="C20" s="6"/>
      <c r="D20" s="6"/>
      <c r="E20" s="6"/>
      <c r="F20" s="6"/>
      <c r="G20" s="6" t="str">
        <f aca="false">IF($C20="","",C20/$G$1)</f>
        <v/>
      </c>
      <c r="H20" s="6" t="str">
        <f aca="false">IF($C20="","",D20/$G$1)</f>
        <v/>
      </c>
      <c r="I20" s="6" t="str">
        <f aca="false">IF($C20="","",E20/$G$1)</f>
        <v/>
      </c>
      <c r="J20" s="6" t="str">
        <f aca="false">IF($C20="","",F20/$G$1)</f>
        <v/>
      </c>
      <c r="K20" s="6" t="str">
        <f aca="false">IF($C20="","",H20+J20)</f>
        <v/>
      </c>
      <c r="L20" s="6" t="str">
        <f aca="false">IF($C20="","",H20+I20)</f>
        <v/>
      </c>
      <c r="M20" s="14" t="str">
        <f aca="false">IF($C20="","",L20/G20)</f>
        <v/>
      </c>
      <c r="N20" s="15" t="str">
        <f aca="false">IF($C20="","",200/H20)</f>
        <v/>
      </c>
      <c r="O20" s="6" t="str">
        <f aca="false">IF($C20="","",IF(H20&gt;200,0,200-H20))</f>
        <v/>
      </c>
      <c r="P20" s="15" t="str">
        <f aca="false">IF($C20="","",O20/I20)</f>
        <v/>
      </c>
      <c r="Q20" s="6" t="str">
        <f aca="false">IF($C20="","",IF(IF(I20&gt;O20,0,O20-I20)&gt;200,200,IF(I20&gt;O20,0,O20-I20)+200))</f>
        <v/>
      </c>
      <c r="R20" s="15" t="str">
        <f aca="false">IF($C20="","",Q20/IF(H20&lt;200,J20,H20-200+J20))</f>
        <v/>
      </c>
      <c r="S20" s="6" t="str">
        <f aca="false">IF($C20="","",IF(IF(H20&lt;200,J20,H20-200+J20)&gt;Q20,0,Q20-IF(H20&lt;200,J20,H20-200+J20)))</f>
        <v/>
      </c>
      <c r="T20" s="15" t="str">
        <f aca="false">IF($C20="","",S20/(IF(IF(H20&gt;200,I20,I20-(200-H20))&lt;0,0,IF(H20&gt;200,I20,I20-(200-H20)))+(G20-SUM(H20:J20))))</f>
        <v/>
      </c>
      <c r="U20" s="6"/>
      <c r="V20" s="6"/>
    </row>
    <row r="21" customFormat="false" ht="15" hidden="false" customHeight="true" outlineLevel="0" collapsed="false">
      <c r="A21" s="6"/>
      <c r="B21" s="6"/>
      <c r="C21" s="6"/>
      <c r="D21" s="6"/>
      <c r="E21" s="6"/>
      <c r="F21" s="6"/>
      <c r="G21" s="6" t="str">
        <f aca="false">IF($C21="","",C21/$G$1)</f>
        <v/>
      </c>
      <c r="H21" s="6" t="str">
        <f aca="false">IF($C21="","",D21/$G$1)</f>
        <v/>
      </c>
      <c r="I21" s="6" t="str">
        <f aca="false">IF($C21="","",E21/$G$1)</f>
        <v/>
      </c>
      <c r="J21" s="6" t="str">
        <f aca="false">IF($C21="","",F21/$G$1)</f>
        <v/>
      </c>
      <c r="K21" s="6" t="str">
        <f aca="false">IF($C21="","",H21+J21)</f>
        <v/>
      </c>
      <c r="L21" s="6" t="str">
        <f aca="false">IF($C21="","",H21+I21)</f>
        <v/>
      </c>
      <c r="M21" s="14" t="str">
        <f aca="false">IF($C21="","",L21/G21)</f>
        <v/>
      </c>
      <c r="N21" s="15" t="str">
        <f aca="false">IF($C21="","",200/H21)</f>
        <v/>
      </c>
      <c r="O21" s="6" t="str">
        <f aca="false">IF($C21="","",IF(H21&gt;200,0,200-H21))</f>
        <v/>
      </c>
      <c r="P21" s="15" t="str">
        <f aca="false">IF($C21="","",O21/I21)</f>
        <v/>
      </c>
      <c r="Q21" s="6" t="str">
        <f aca="false">IF($C21="","",IF(IF(I21&gt;O21,0,O21-I21)&gt;200,200,IF(I21&gt;O21,0,O21-I21)+200))</f>
        <v/>
      </c>
      <c r="R21" s="15" t="str">
        <f aca="false">IF($C21="","",Q21/IF(H21&lt;200,J21,H21-200+J21))</f>
        <v/>
      </c>
      <c r="S21" s="6" t="str">
        <f aca="false">IF($C21="","",IF(IF(H21&lt;200,J21,H21-200+J21)&gt;Q21,0,Q21-IF(H21&lt;200,J21,H21-200+J21)))</f>
        <v/>
      </c>
      <c r="T21" s="15" t="str">
        <f aca="false">IF($C21="","",S21/(IF(IF(H21&gt;200,I21,I21-(200-H21))&lt;0,0,IF(H21&gt;200,I21,I21-(200-H21)))+(G21-SUM(H21:J21))))</f>
        <v/>
      </c>
      <c r="U21" s="6"/>
      <c r="V21" s="6"/>
    </row>
    <row r="22" customFormat="false" ht="15" hidden="false" customHeight="true" outlineLevel="0" collapsed="false">
      <c r="A22" s="6"/>
      <c r="B22" s="6"/>
      <c r="C22" s="6"/>
      <c r="D22" s="6"/>
      <c r="E22" s="6"/>
      <c r="F22" s="6"/>
      <c r="G22" s="6" t="str">
        <f aca="false">IF($C22="","",C22/$G$1)</f>
        <v/>
      </c>
      <c r="H22" s="6" t="str">
        <f aca="false">IF($C22="","",D22/$G$1)</f>
        <v/>
      </c>
      <c r="I22" s="6" t="str">
        <f aca="false">IF($C22="","",E22/$G$1)</f>
        <v/>
      </c>
      <c r="J22" s="6" t="str">
        <f aca="false">IF($C22="","",F22/$G$1)</f>
        <v/>
      </c>
      <c r="K22" s="6" t="str">
        <f aca="false">IF($C22="","",H22+J22)</f>
        <v/>
      </c>
      <c r="L22" s="6" t="str">
        <f aca="false">IF($C22="","",H22+I22)</f>
        <v/>
      </c>
      <c r="M22" s="14" t="str">
        <f aca="false">IF($C22="","",L22/G22)</f>
        <v/>
      </c>
      <c r="N22" s="15" t="str">
        <f aca="false">IF($C22="","",200/H22)</f>
        <v/>
      </c>
      <c r="O22" s="6" t="str">
        <f aca="false">IF($C22="","",IF(H22&gt;200,0,200-H22))</f>
        <v/>
      </c>
      <c r="P22" s="15" t="str">
        <f aca="false">IF($C22="","",O22/I22)</f>
        <v/>
      </c>
      <c r="Q22" s="6" t="str">
        <f aca="false">IF($C22="","",IF(IF(I22&gt;O22,0,O22-I22)&gt;200,200,IF(I22&gt;O22,0,O22-I22)+200))</f>
        <v/>
      </c>
      <c r="R22" s="15" t="str">
        <f aca="false">IF($C22="","",Q22/IF(H22&lt;200,J22,H22-200+J22))</f>
        <v/>
      </c>
      <c r="S22" s="6" t="str">
        <f aca="false">IF($C22="","",IF(IF(H22&lt;200,J22,H22-200+J22)&gt;Q22,0,Q22-IF(H22&lt;200,J22,H22-200+J22)))</f>
        <v/>
      </c>
      <c r="T22" s="15" t="str">
        <f aca="false">IF($C22="","",S22/(IF(IF(H22&gt;200,I22,I22-(200-H22))&lt;0,0,IF(H22&gt;200,I22,I22-(200-H22)))+(G22-SUM(H22:J22))))</f>
        <v/>
      </c>
      <c r="U22" s="6"/>
      <c r="V22" s="6"/>
    </row>
    <row r="23" customFormat="false" ht="15" hidden="false" customHeight="true" outlineLevel="0" collapsed="false">
      <c r="A23" s="6"/>
      <c r="B23" s="6"/>
      <c r="C23" s="6"/>
      <c r="D23" s="6"/>
      <c r="E23" s="6"/>
      <c r="F23" s="6"/>
      <c r="G23" s="6" t="str">
        <f aca="false">IF($C23="","",C23/$G$1)</f>
        <v/>
      </c>
      <c r="H23" s="6" t="str">
        <f aca="false">IF($C23="","",D23/$G$1)</f>
        <v/>
      </c>
      <c r="I23" s="6" t="str">
        <f aca="false">IF($C23="","",E23/$G$1)</f>
        <v/>
      </c>
      <c r="J23" s="6" t="str">
        <f aca="false">IF($C23="","",F23/$G$1)</f>
        <v/>
      </c>
      <c r="K23" s="6" t="str">
        <f aca="false">IF($C23="","",H23+J23)</f>
        <v/>
      </c>
      <c r="L23" s="6" t="str">
        <f aca="false">IF($C23="","",H23+I23)</f>
        <v/>
      </c>
      <c r="M23" s="14" t="str">
        <f aca="false">IF($C23="","",L23/G23)</f>
        <v/>
      </c>
      <c r="N23" s="15" t="str">
        <f aca="false">IF($C23="","",200/H23)</f>
        <v/>
      </c>
      <c r="O23" s="6" t="str">
        <f aca="false">IF($C23="","",IF(H23&gt;200,0,200-H23))</f>
        <v/>
      </c>
      <c r="P23" s="15" t="str">
        <f aca="false">IF($C23="","",O23/I23)</f>
        <v/>
      </c>
      <c r="Q23" s="6" t="str">
        <f aca="false">IF($C23="","",IF(IF(I23&gt;O23,0,O23-I23)&gt;200,200,IF(I23&gt;O23,0,O23-I23)+200))</f>
        <v/>
      </c>
      <c r="R23" s="15" t="str">
        <f aca="false">IF($C23="","",Q23/IF(H23&lt;200,J23,H23-200+J23))</f>
        <v/>
      </c>
      <c r="S23" s="6" t="str">
        <f aca="false">IF($C23="","",IF(IF(H23&lt;200,J23,H23-200+J23)&gt;Q23,0,Q23-IF(H23&lt;200,J23,H23-200+J23)))</f>
        <v/>
      </c>
      <c r="T23" s="15" t="str">
        <f aca="false">IF($C23="","",S23/(IF(IF(H23&gt;200,I23,I23-(200-H23))&lt;0,0,IF(H23&gt;200,I23,I23-(200-H23)))+(G23-SUM(H23:J23))))</f>
        <v/>
      </c>
      <c r="U23" s="6"/>
      <c r="V23" s="6"/>
    </row>
    <row r="24" customFormat="false" ht="15" hidden="false" customHeight="true" outlineLevel="0" collapsed="false">
      <c r="A24" s="6"/>
      <c r="B24" s="6"/>
      <c r="C24" s="6"/>
      <c r="D24" s="6"/>
      <c r="E24" s="6"/>
      <c r="F24" s="6"/>
      <c r="G24" s="6" t="str">
        <f aca="false">IF($C24="","",C24/$G$1)</f>
        <v/>
      </c>
      <c r="H24" s="6" t="str">
        <f aca="false">IF($C24="","",D24/$G$1)</f>
        <v/>
      </c>
      <c r="I24" s="6" t="str">
        <f aca="false">IF($C24="","",E24/$G$1)</f>
        <v/>
      </c>
      <c r="J24" s="6" t="str">
        <f aca="false">IF($C24="","",F24/$G$1)</f>
        <v/>
      </c>
      <c r="K24" s="6" t="str">
        <f aca="false">IF($C24="","",H24+J24)</f>
        <v/>
      </c>
      <c r="L24" s="6" t="str">
        <f aca="false">IF($C24="","",H24+I24)</f>
        <v/>
      </c>
      <c r="M24" s="14" t="str">
        <f aca="false">IF($C24="","",L24/G24)</f>
        <v/>
      </c>
      <c r="N24" s="15" t="str">
        <f aca="false">IF($C24="","",200/H24)</f>
        <v/>
      </c>
      <c r="O24" s="6" t="str">
        <f aca="false">IF($C24="","",IF(H24&gt;200,0,200-H24))</f>
        <v/>
      </c>
      <c r="P24" s="15" t="str">
        <f aca="false">IF($C24="","",O24/I24)</f>
        <v/>
      </c>
      <c r="Q24" s="6" t="str">
        <f aca="false">IF($C24="","",IF(IF(I24&gt;O24,0,O24-I24)&gt;200,200,IF(I24&gt;O24,0,O24-I24)+200))</f>
        <v/>
      </c>
      <c r="R24" s="15" t="str">
        <f aca="false">IF($C24="","",Q24/IF(H24&lt;200,J24,H24-200+J24))</f>
        <v/>
      </c>
      <c r="S24" s="6" t="str">
        <f aca="false">IF($C24="","",IF(IF(H24&lt;200,J24,H24-200+J24)&gt;Q24,0,Q24-IF(H24&lt;200,J24,H24-200+J24)))</f>
        <v/>
      </c>
      <c r="T24" s="15" t="str">
        <f aca="false">IF($C24="","",S24/(IF(IF(H24&gt;200,I24,I24-(200-H24))&lt;0,0,IF(H24&gt;200,I24,I24-(200-H24)))+(G24-SUM(H24:J24))))</f>
        <v/>
      </c>
      <c r="U24" s="6"/>
      <c r="V24" s="6"/>
    </row>
    <row r="25" customFormat="false" ht="15" hidden="false" customHeight="true" outlineLevel="0" collapsed="false">
      <c r="A25" s="6"/>
      <c r="B25" s="6"/>
      <c r="C25" s="6"/>
      <c r="D25" s="6"/>
      <c r="E25" s="6"/>
      <c r="F25" s="6"/>
      <c r="G25" s="6" t="str">
        <f aca="false">IF($C25="","",C25/$G$1)</f>
        <v/>
      </c>
      <c r="H25" s="6" t="str">
        <f aca="false">IF($C25="","",D25/$G$1)</f>
        <v/>
      </c>
      <c r="I25" s="6" t="str">
        <f aca="false">IF($C25="","",E25/$G$1)</f>
        <v/>
      </c>
      <c r="J25" s="6" t="str">
        <f aca="false">IF($C25="","",F25/$G$1)</f>
        <v/>
      </c>
      <c r="K25" s="6" t="str">
        <f aca="false">IF($C25="","",H25+J25)</f>
        <v/>
      </c>
      <c r="L25" s="6" t="str">
        <f aca="false">IF($C25="","",H25+I25)</f>
        <v/>
      </c>
      <c r="M25" s="14" t="str">
        <f aca="false">IF($C25="","",L25/G25)</f>
        <v/>
      </c>
      <c r="N25" s="15" t="str">
        <f aca="false">IF($C25="","",200/H25)</f>
        <v/>
      </c>
      <c r="O25" s="6" t="str">
        <f aca="false">IF($C25="","",IF(H25&gt;200,0,200-H25))</f>
        <v/>
      </c>
      <c r="P25" s="15" t="str">
        <f aca="false">IF($C25="","",O25/I25)</f>
        <v/>
      </c>
      <c r="Q25" s="6" t="str">
        <f aca="false">IF($C25="","",IF(IF(I25&gt;O25,0,O25-I25)&gt;200,200,IF(I25&gt;O25,0,O25-I25)+200))</f>
        <v/>
      </c>
      <c r="R25" s="15" t="str">
        <f aca="false">IF($C25="","",Q25/IF(H25&lt;200,J25,H25-200+J25))</f>
        <v/>
      </c>
      <c r="S25" s="6" t="str">
        <f aca="false">IF($C25="","",IF(IF(H25&lt;200,J25,H25-200+J25)&gt;Q25,0,Q25-IF(H25&lt;200,J25,H25-200+J25)))</f>
        <v/>
      </c>
      <c r="T25" s="15" t="str">
        <f aca="false">IF($C25="","",S25/(IF(IF(H25&gt;200,I25,I25-(200-H25))&lt;0,0,IF(H25&gt;200,I25,I25-(200-H25)))+(G25-SUM(H25:J25))))</f>
        <v/>
      </c>
      <c r="U25" s="6"/>
      <c r="V25" s="6"/>
    </row>
    <row r="26" customFormat="false" ht="15" hidden="false" customHeight="true" outlineLevel="0" collapsed="false">
      <c r="A26" s="6"/>
      <c r="B26" s="6"/>
      <c r="C26" s="6"/>
      <c r="D26" s="6"/>
      <c r="E26" s="6"/>
      <c r="F26" s="6"/>
      <c r="G26" s="6" t="str">
        <f aca="false">IF($C26="","",C26/$G$1)</f>
        <v/>
      </c>
      <c r="H26" s="6" t="str">
        <f aca="false">IF($C26="","",D26/$G$1)</f>
        <v/>
      </c>
      <c r="I26" s="6" t="str">
        <f aca="false">IF($C26="","",E26/$G$1)</f>
        <v/>
      </c>
      <c r="J26" s="6" t="str">
        <f aca="false">IF($C26="","",F26/$G$1)</f>
        <v/>
      </c>
      <c r="K26" s="6" t="str">
        <f aca="false">IF($C26="","",H26+J26)</f>
        <v/>
      </c>
      <c r="L26" s="6" t="str">
        <f aca="false">IF($C26="","",H26+I26)</f>
        <v/>
      </c>
      <c r="M26" s="14" t="str">
        <f aca="false">IF($C26="","",L26/G26)</f>
        <v/>
      </c>
      <c r="N26" s="15" t="str">
        <f aca="false">IF($C26="","",200/H26)</f>
        <v/>
      </c>
      <c r="O26" s="6" t="str">
        <f aca="false">IF($C26="","",IF(H26&gt;200,0,200-H26))</f>
        <v/>
      </c>
      <c r="P26" s="15" t="str">
        <f aca="false">IF($C26="","",O26/I26)</f>
        <v/>
      </c>
      <c r="Q26" s="6" t="str">
        <f aca="false">IF($C26="","",IF(IF(I26&gt;O26,0,O26-I26)&gt;200,200,IF(I26&gt;O26,0,O26-I26)+200))</f>
        <v/>
      </c>
      <c r="R26" s="15" t="str">
        <f aca="false">IF($C26="","",Q26/IF(H26&lt;200,J26,H26-200+J26))</f>
        <v/>
      </c>
      <c r="S26" s="6" t="str">
        <f aca="false">IF($C26="","",IF(IF(H26&lt;200,J26,H26-200+J26)&gt;Q26,0,Q26-IF(H26&lt;200,J26,H26-200+J26)))</f>
        <v/>
      </c>
      <c r="T26" s="15" t="str">
        <f aca="false">IF($C26="","",S26/(IF(IF(H26&gt;200,I26,I26-(200-H26))&lt;0,0,IF(H26&gt;200,I26,I26-(200-H26)))+(G26-SUM(H26:J26))))</f>
        <v/>
      </c>
      <c r="U26" s="6"/>
      <c r="V26" s="6"/>
    </row>
    <row r="27" customFormat="false" ht="15" hidden="false" customHeight="true" outlineLevel="0" collapsed="false">
      <c r="A27" s="6"/>
      <c r="B27" s="6"/>
      <c r="C27" s="6"/>
      <c r="D27" s="6"/>
      <c r="E27" s="6"/>
      <c r="F27" s="6"/>
      <c r="G27" s="6" t="str">
        <f aca="false">IF($C27="","",C27/$G$1)</f>
        <v/>
      </c>
      <c r="H27" s="6" t="str">
        <f aca="false">IF($C27="","",D27/$G$1)</f>
        <v/>
      </c>
      <c r="I27" s="6" t="str">
        <f aca="false">IF($C27="","",E27/$G$1)</f>
        <v/>
      </c>
      <c r="J27" s="6" t="str">
        <f aca="false">IF($C27="","",F27/$G$1)</f>
        <v/>
      </c>
      <c r="K27" s="6" t="str">
        <f aca="false">IF($C27="","",H27+J27)</f>
        <v/>
      </c>
      <c r="L27" s="6" t="str">
        <f aca="false">IF($C27="","",H27+I27)</f>
        <v/>
      </c>
      <c r="M27" s="14" t="str">
        <f aca="false">IF($C27="","",L27/G27)</f>
        <v/>
      </c>
      <c r="N27" s="15" t="str">
        <f aca="false">IF($C27="","",200/H27)</f>
        <v/>
      </c>
      <c r="O27" s="6" t="str">
        <f aca="false">IF($C27="","",IF(H27&gt;200,0,200-H27))</f>
        <v/>
      </c>
      <c r="P27" s="15" t="str">
        <f aca="false">IF($C27="","",O27/I27)</f>
        <v/>
      </c>
      <c r="Q27" s="6" t="str">
        <f aca="false">IF($C27="","",IF(IF(I27&gt;O27,0,O27-I27)&gt;200,200,IF(I27&gt;O27,0,O27-I27)+200))</f>
        <v/>
      </c>
      <c r="R27" s="15" t="str">
        <f aca="false">IF($C27="","",Q27/IF(H27&lt;200,J27,H27-200+J27))</f>
        <v/>
      </c>
      <c r="S27" s="6" t="str">
        <f aca="false">IF($C27="","",IF(IF(H27&lt;200,J27,H27-200+J27)&gt;Q27,0,Q27-IF(H27&lt;200,J27,H27-200+J27)))</f>
        <v/>
      </c>
      <c r="T27" s="15" t="str">
        <f aca="false">IF($C27="","",S27/(IF(IF(H27&gt;200,I27,I27-(200-H27))&lt;0,0,IF(H27&gt;200,I27,I27-(200-H27)))+(G27-SUM(H27:J27))))</f>
        <v/>
      </c>
      <c r="U27" s="6"/>
      <c r="V27" s="6"/>
    </row>
    <row r="28" customFormat="false" ht="15" hidden="false" customHeight="true" outlineLevel="0" collapsed="false">
      <c r="A28" s="6"/>
      <c r="B28" s="6"/>
      <c r="C28" s="6"/>
      <c r="D28" s="6"/>
      <c r="E28" s="6"/>
      <c r="F28" s="6"/>
      <c r="G28" s="6" t="str">
        <f aca="false">IF($C28="","",C28/$G$1)</f>
        <v/>
      </c>
      <c r="H28" s="6" t="str">
        <f aca="false">IF($C28="","",D28/$G$1)</f>
        <v/>
      </c>
      <c r="I28" s="6" t="str">
        <f aca="false">IF($C28="","",E28/$G$1)</f>
        <v/>
      </c>
      <c r="J28" s="6" t="str">
        <f aca="false">IF($C28="","",F28/$G$1)</f>
        <v/>
      </c>
      <c r="K28" s="6" t="str">
        <f aca="false">IF($C28="","",H28+J28)</f>
        <v/>
      </c>
      <c r="L28" s="6" t="str">
        <f aca="false">IF($C28="","",H28+I28)</f>
        <v/>
      </c>
      <c r="M28" s="14" t="str">
        <f aca="false">IF($C28="","",L28/G28)</f>
        <v/>
      </c>
      <c r="N28" s="15" t="str">
        <f aca="false">IF($C28="","",200/H28)</f>
        <v/>
      </c>
      <c r="O28" s="6" t="str">
        <f aca="false">IF($C28="","",IF(H28&gt;200,0,200-H28))</f>
        <v/>
      </c>
      <c r="P28" s="15" t="str">
        <f aca="false">IF($C28="","",O28/I28)</f>
        <v/>
      </c>
      <c r="Q28" s="6" t="str">
        <f aca="false">IF($C28="","",IF(IF(I28&gt;O28,0,O28-I28)&gt;200,200,IF(I28&gt;O28,0,O28-I28)+200))</f>
        <v/>
      </c>
      <c r="R28" s="15" t="str">
        <f aca="false">IF($C28="","",Q28/IF(H28&lt;200,J28,H28-200+J28))</f>
        <v/>
      </c>
      <c r="S28" s="6" t="str">
        <f aca="false">IF($C28="","",IF(IF(H28&lt;200,J28,H28-200+J28)&gt;Q28,0,Q28-IF(H28&lt;200,J28,H28-200+J28)))</f>
        <v/>
      </c>
      <c r="T28" s="15" t="str">
        <f aca="false">IF($C28="","",S28/(IF(IF(H28&gt;200,I28,I28-(200-H28))&lt;0,0,IF(H28&gt;200,I28,I28-(200-H28)))+(G28-SUM(H28:J28))))</f>
        <v/>
      </c>
      <c r="U28" s="6"/>
      <c r="V28" s="6"/>
    </row>
    <row r="29" customFormat="false" ht="15" hidden="false" customHeight="true" outlineLevel="0" collapsed="false">
      <c r="A29" s="6"/>
      <c r="B29" s="6"/>
      <c r="C29" s="6"/>
      <c r="D29" s="6"/>
      <c r="E29" s="6"/>
      <c r="F29" s="6"/>
      <c r="G29" s="6" t="str">
        <f aca="false">IF($C29="","",C29/$G$1)</f>
        <v/>
      </c>
      <c r="H29" s="6" t="str">
        <f aca="false">IF($C29="","",D29/$G$1)</f>
        <v/>
      </c>
      <c r="I29" s="6" t="str">
        <f aca="false">IF($C29="","",E29/$G$1)</f>
        <v/>
      </c>
      <c r="J29" s="6" t="str">
        <f aca="false">IF($C29="","",F29/$G$1)</f>
        <v/>
      </c>
      <c r="K29" s="6" t="str">
        <f aca="false">IF($C29="","",H29+J29)</f>
        <v/>
      </c>
      <c r="L29" s="6" t="str">
        <f aca="false">IF($C29="","",H29+I29)</f>
        <v/>
      </c>
      <c r="M29" s="14" t="str">
        <f aca="false">IF($C29="","",L29/G29)</f>
        <v/>
      </c>
      <c r="N29" s="15" t="str">
        <f aca="false">IF($C29="","",200/H29)</f>
        <v/>
      </c>
      <c r="O29" s="6" t="str">
        <f aca="false">IF($C29="","",IF(H29&gt;200,0,200-H29))</f>
        <v/>
      </c>
      <c r="P29" s="15" t="str">
        <f aca="false">IF($C29="","",O29/I29)</f>
        <v/>
      </c>
      <c r="Q29" s="6" t="str">
        <f aca="false">IF($C29="","",IF(IF(I29&gt;O29,0,O29-I29)&gt;200,200,IF(I29&gt;O29,0,O29-I29)+200))</f>
        <v/>
      </c>
      <c r="R29" s="15" t="str">
        <f aca="false">IF($C29="","",Q29/IF(H29&lt;200,J29,H29-200+J29))</f>
        <v/>
      </c>
      <c r="S29" s="6" t="str">
        <f aca="false">IF($C29="","",IF(IF(H29&lt;200,J29,H29-200+J29)&gt;Q29,0,Q29-IF(H29&lt;200,J29,H29-200+J29)))</f>
        <v/>
      </c>
      <c r="T29" s="15" t="str">
        <f aca="false">IF($C29="","",S29/(IF(IF(H29&gt;200,I29,I29-(200-H29))&lt;0,0,IF(H29&gt;200,I29,I29-(200-H29)))+(G29-SUM(H29:J29))))</f>
        <v/>
      </c>
      <c r="U29" s="6"/>
      <c r="V29" s="6"/>
    </row>
    <row r="30" customFormat="false" ht="15" hidden="false" customHeight="true" outlineLevel="0" collapsed="false">
      <c r="A30" s="6"/>
      <c r="B30" s="6"/>
      <c r="C30" s="6"/>
      <c r="D30" s="6"/>
      <c r="E30" s="6"/>
      <c r="F30" s="6"/>
      <c r="G30" s="6" t="str">
        <f aca="false">IF($C30="","",C30/$G$1)</f>
        <v/>
      </c>
      <c r="H30" s="6" t="str">
        <f aca="false">IF($C30="","",D30/$G$1)</f>
        <v/>
      </c>
      <c r="I30" s="6" t="str">
        <f aca="false">IF($C30="","",E30/$G$1)</f>
        <v/>
      </c>
      <c r="J30" s="6" t="str">
        <f aca="false">IF($C30="","",F30/$G$1)</f>
        <v/>
      </c>
      <c r="K30" s="6" t="str">
        <f aca="false">IF($C30="","",H30+J30)</f>
        <v/>
      </c>
      <c r="L30" s="6" t="str">
        <f aca="false">IF($C30="","",H30+I30)</f>
        <v/>
      </c>
      <c r="M30" s="14" t="str">
        <f aca="false">IF($C30="","",L30/G30)</f>
        <v/>
      </c>
      <c r="N30" s="15" t="str">
        <f aca="false">IF($C30="","",200/H30)</f>
        <v/>
      </c>
      <c r="O30" s="6" t="str">
        <f aca="false">IF($C30="","",IF(H30&gt;200,0,200-H30))</f>
        <v/>
      </c>
      <c r="P30" s="15" t="str">
        <f aca="false">IF($C30="","",O30/I30)</f>
        <v/>
      </c>
      <c r="Q30" s="6" t="str">
        <f aca="false">IF($C30="","",IF(IF(I30&gt;O30,0,O30-I30)&gt;200,200,IF(I30&gt;O30,0,O30-I30)+200))</f>
        <v/>
      </c>
      <c r="R30" s="15" t="str">
        <f aca="false">IF($C30="","",Q30/IF(H30&lt;200,J30,H30-200+J30))</f>
        <v/>
      </c>
      <c r="S30" s="6" t="str">
        <f aca="false">IF($C30="","",IF(IF(H30&lt;200,J30,H30-200+J30)&gt;Q30,0,Q30-IF(H30&lt;200,J30,H30-200+J30)))</f>
        <v/>
      </c>
      <c r="T30" s="15" t="str">
        <f aca="false">IF($C30="","",S30/(IF(IF(H30&gt;200,I30,I30-(200-H30))&lt;0,0,IF(H30&gt;200,I30,I30-(200-H30)))+(G30-SUM(H30:J30))))</f>
        <v/>
      </c>
      <c r="U30" s="6"/>
      <c r="V30" s="6"/>
    </row>
    <row r="31" customFormat="false" ht="15" hidden="false" customHeight="true" outlineLevel="0" collapsed="false">
      <c r="A31" s="6"/>
      <c r="B31" s="6"/>
      <c r="C31" s="6"/>
      <c r="D31" s="6"/>
      <c r="E31" s="6"/>
      <c r="F31" s="6"/>
      <c r="G31" s="6" t="str">
        <f aca="false">IF($C31="","",C31/$G$1)</f>
        <v/>
      </c>
      <c r="H31" s="6" t="str">
        <f aca="false">IF($C31="","",D31/$G$1)</f>
        <v/>
      </c>
      <c r="I31" s="6" t="str">
        <f aca="false">IF($C31="","",E31/$G$1)</f>
        <v/>
      </c>
      <c r="J31" s="6" t="str">
        <f aca="false">IF($C31="","",F31/$G$1)</f>
        <v/>
      </c>
      <c r="K31" s="6" t="str">
        <f aca="false">IF($C31="","",H31+J31)</f>
        <v/>
      </c>
      <c r="L31" s="6" t="str">
        <f aca="false">IF($C31="","",H31+I31)</f>
        <v/>
      </c>
      <c r="M31" s="14" t="str">
        <f aca="false">IF($C31="","",L31/G31)</f>
        <v/>
      </c>
      <c r="N31" s="15" t="str">
        <f aca="false">IF($C31="","",200/H31)</f>
        <v/>
      </c>
      <c r="O31" s="6" t="str">
        <f aca="false">IF($C31="","",IF(H31&gt;200,0,200-H31))</f>
        <v/>
      </c>
      <c r="P31" s="15" t="str">
        <f aca="false">IF($C31="","",O31/I31)</f>
        <v/>
      </c>
      <c r="Q31" s="6" t="str">
        <f aca="false">IF($C31="","",IF(IF(I31&gt;O31,0,O31-I31)&gt;200,200,IF(I31&gt;O31,0,O31-I31)+200))</f>
        <v/>
      </c>
      <c r="R31" s="15" t="str">
        <f aca="false">IF($C31="","",Q31/IF(H31&lt;200,J31,H31-200+J31))</f>
        <v/>
      </c>
      <c r="S31" s="6" t="str">
        <f aca="false">IF($C31="","",IF(IF(H31&lt;200,J31,H31-200+J31)&gt;Q31,0,Q31-IF(H31&lt;200,J31,H31-200+J31)))</f>
        <v/>
      </c>
      <c r="T31" s="15" t="str">
        <f aca="false">IF($C31="","",S31/(IF(IF(H31&gt;200,I31,I31-(200-H31))&lt;0,0,IF(H31&gt;200,I31,I31-(200-H31)))+(G31-SUM(H31:J31))))</f>
        <v/>
      </c>
      <c r="U31" s="6"/>
      <c r="V31" s="6"/>
    </row>
    <row r="32" customFormat="false" ht="15" hidden="false" customHeight="true" outlineLevel="0" collapsed="false">
      <c r="A32" s="6"/>
      <c r="B32" s="6"/>
      <c r="C32" s="6"/>
      <c r="D32" s="6"/>
      <c r="E32" s="6"/>
      <c r="F32" s="6"/>
      <c r="G32" s="6" t="str">
        <f aca="false">IF($C32="","",C32/$G$1)</f>
        <v/>
      </c>
      <c r="H32" s="6" t="str">
        <f aca="false">IF($C32="","",D32/$G$1)</f>
        <v/>
      </c>
      <c r="I32" s="6" t="str">
        <f aca="false">IF($C32="","",E32/$G$1)</f>
        <v/>
      </c>
      <c r="J32" s="6" t="str">
        <f aca="false">IF($C32="","",F32/$G$1)</f>
        <v/>
      </c>
      <c r="K32" s="6" t="str">
        <f aca="false">IF($C32="","",H32+J32)</f>
        <v/>
      </c>
      <c r="L32" s="6" t="str">
        <f aca="false">IF($C32="","",H32+I32)</f>
        <v/>
      </c>
      <c r="M32" s="14" t="str">
        <f aca="false">IF($C32="","",L32/G32)</f>
        <v/>
      </c>
      <c r="N32" s="15" t="str">
        <f aca="false">IF($C32="","",200/H32)</f>
        <v/>
      </c>
      <c r="O32" s="6" t="str">
        <f aca="false">IF($C32="","",IF(H32&gt;200,0,200-H32))</f>
        <v/>
      </c>
      <c r="P32" s="15" t="str">
        <f aca="false">IF($C32="","",O32/I32)</f>
        <v/>
      </c>
      <c r="Q32" s="6" t="str">
        <f aca="false">IF($C32="","",IF(IF(I32&gt;O32,0,O32-I32)&gt;200,200,IF(I32&gt;O32,0,O32-I32)+200))</f>
        <v/>
      </c>
      <c r="R32" s="15" t="str">
        <f aca="false">IF($C32="","",Q32/IF(H32&lt;200,J32,H32-200+J32))</f>
        <v/>
      </c>
      <c r="S32" s="6" t="str">
        <f aca="false">IF($C32="","",IF(IF(H32&lt;200,J32,H32-200+J32)&gt;Q32,0,Q32-IF(H32&lt;200,J32,H32-200+J32)))</f>
        <v/>
      </c>
      <c r="T32" s="15" t="str">
        <f aca="false">IF($C32="","",S32/(IF(IF(H32&gt;200,I32,I32-(200-H32))&lt;0,0,IF(H32&gt;200,I32,I32-(200-H32)))+(G32-SUM(H32:J32))))</f>
        <v/>
      </c>
      <c r="U32" s="6"/>
      <c r="V32" s="6"/>
    </row>
    <row r="33" customFormat="false" ht="15" hidden="false" customHeight="true" outlineLevel="0" collapsed="false">
      <c r="A33" s="6"/>
      <c r="B33" s="6"/>
      <c r="C33" s="6"/>
      <c r="D33" s="6"/>
      <c r="E33" s="6"/>
      <c r="F33" s="6"/>
      <c r="G33" s="6" t="str">
        <f aca="false">IF($C33="","",C33/$G$1)</f>
        <v/>
      </c>
      <c r="H33" s="6" t="str">
        <f aca="false">IF($C33="","",D33/$G$1)</f>
        <v/>
      </c>
      <c r="I33" s="6" t="str">
        <f aca="false">IF($C33="","",E33/$G$1)</f>
        <v/>
      </c>
      <c r="J33" s="6" t="str">
        <f aca="false">IF($C33="","",F33/$G$1)</f>
        <v/>
      </c>
      <c r="K33" s="6" t="str">
        <f aca="false">IF($C33="","",H33+J33)</f>
        <v/>
      </c>
      <c r="L33" s="6" t="str">
        <f aca="false">IF($C33="","",H33+I33)</f>
        <v/>
      </c>
      <c r="M33" s="14" t="str">
        <f aca="false">IF($C33="","",L33/G33)</f>
        <v/>
      </c>
      <c r="N33" s="15" t="str">
        <f aca="false">IF($C33="","",200/H33)</f>
        <v/>
      </c>
      <c r="O33" s="6" t="str">
        <f aca="false">IF($C33="","",IF(H33&gt;200,0,200-H33))</f>
        <v/>
      </c>
      <c r="P33" s="15" t="str">
        <f aca="false">IF($C33="","",O33/I33)</f>
        <v/>
      </c>
      <c r="Q33" s="6" t="str">
        <f aca="false">IF($C33="","",IF(IF(I33&gt;O33,0,O33-I33)&gt;200,200,IF(I33&gt;O33,0,O33-I33)+200))</f>
        <v/>
      </c>
      <c r="R33" s="15" t="str">
        <f aca="false">IF($C33="","",Q33/IF(H33&lt;200,J33,H33-200+J33))</f>
        <v/>
      </c>
      <c r="S33" s="6" t="str">
        <f aca="false">IF($C33="","",IF(IF(H33&lt;200,J33,H33-200+J33)&gt;Q33,0,Q33-IF(H33&lt;200,J33,H33-200+J33)))</f>
        <v/>
      </c>
      <c r="T33" s="15" t="str">
        <f aca="false">IF($C33="","",S33/(IF(IF(H33&gt;200,I33,I33-(200-H33))&lt;0,0,IF(H33&gt;200,I33,I33-(200-H33)))+(G33-SUM(H33:J33))))</f>
        <v/>
      </c>
      <c r="U33" s="6"/>
      <c r="V33" s="6"/>
    </row>
    <row r="34" customFormat="false" ht="15" hidden="false" customHeight="true" outlineLevel="0" collapsed="false">
      <c r="A34" s="6"/>
      <c r="B34" s="6"/>
      <c r="C34" s="6"/>
      <c r="D34" s="6"/>
      <c r="E34" s="6"/>
      <c r="F34" s="6"/>
      <c r="G34" s="6" t="str">
        <f aca="false">IF($C34="","",C34/$G$1)</f>
        <v/>
      </c>
      <c r="H34" s="6" t="str">
        <f aca="false">IF($C34="","",D34/$G$1)</f>
        <v/>
      </c>
      <c r="I34" s="6" t="str">
        <f aca="false">IF($C34="","",E34/$G$1)</f>
        <v/>
      </c>
      <c r="J34" s="6" t="str">
        <f aca="false">IF($C34="","",F34/$G$1)</f>
        <v/>
      </c>
      <c r="K34" s="6" t="str">
        <f aca="false">IF($C34="","",H34+J34)</f>
        <v/>
      </c>
      <c r="L34" s="6" t="str">
        <f aca="false">IF($C34="","",H34+I34)</f>
        <v/>
      </c>
      <c r="M34" s="14" t="str">
        <f aca="false">IF($C34="","",L34/G34)</f>
        <v/>
      </c>
      <c r="N34" s="15" t="str">
        <f aca="false">IF($C34="","",200/H34)</f>
        <v/>
      </c>
      <c r="O34" s="6" t="str">
        <f aca="false">IF($C34="","",IF(H34&gt;200,0,200-H34))</f>
        <v/>
      </c>
      <c r="P34" s="15" t="str">
        <f aca="false">IF($C34="","",O34/I34)</f>
        <v/>
      </c>
      <c r="Q34" s="6" t="str">
        <f aca="false">IF($C34="","",IF(IF(I34&gt;O34,0,O34-I34)&gt;200,200,IF(I34&gt;O34,0,O34-I34)+200))</f>
        <v/>
      </c>
      <c r="R34" s="15" t="str">
        <f aca="false">IF($C34="","",Q34/IF(H34&lt;200,J34,H34-200+J34))</f>
        <v/>
      </c>
      <c r="S34" s="6" t="str">
        <f aca="false">IF($C34="","",IF(IF(H34&lt;200,J34,H34-200+J34)&gt;Q34,0,Q34-IF(H34&lt;200,J34,H34-200+J34)))</f>
        <v/>
      </c>
      <c r="T34" s="15" t="str">
        <f aca="false">IF($C34="","",S34/(IF(IF(H34&gt;200,I34,I34-(200-H34))&lt;0,0,IF(H34&gt;200,I34,I34-(200-H34)))+(G34-SUM(H34:J34))))</f>
        <v/>
      </c>
      <c r="U34" s="6"/>
      <c r="V34" s="6"/>
    </row>
    <row r="35" customFormat="false" ht="15" hidden="false" customHeight="true" outlineLevel="0" collapsed="false">
      <c r="A35" s="6"/>
      <c r="B35" s="6"/>
      <c r="C35" s="6"/>
      <c r="D35" s="6"/>
      <c r="E35" s="6"/>
      <c r="F35" s="6"/>
      <c r="G35" s="6" t="str">
        <f aca="false">IF($C35="","",C35/$G$1)</f>
        <v/>
      </c>
      <c r="H35" s="6" t="str">
        <f aca="false">IF($C35="","",D35/$G$1)</f>
        <v/>
      </c>
      <c r="I35" s="6" t="str">
        <f aca="false">IF($C35="","",E35/$G$1)</f>
        <v/>
      </c>
      <c r="J35" s="6" t="str">
        <f aca="false">IF($C35="","",F35/$G$1)</f>
        <v/>
      </c>
      <c r="K35" s="6" t="str">
        <f aca="false">IF($C35="","",H35+J35)</f>
        <v/>
      </c>
      <c r="L35" s="6" t="str">
        <f aca="false">IF($C35="","",H35+I35)</f>
        <v/>
      </c>
      <c r="M35" s="14" t="str">
        <f aca="false">IF($C35="","",L35/G35)</f>
        <v/>
      </c>
      <c r="N35" s="15" t="str">
        <f aca="false">IF($C35="","",200/H35)</f>
        <v/>
      </c>
      <c r="O35" s="6" t="str">
        <f aca="false">IF($C35="","",IF(H35&gt;200,0,200-H35))</f>
        <v/>
      </c>
      <c r="P35" s="15" t="str">
        <f aca="false">IF($C35="","",O35/I35)</f>
        <v/>
      </c>
      <c r="Q35" s="6" t="str">
        <f aca="false">IF($C35="","",IF(IF(I35&gt;O35,0,O35-I35)&gt;200,200,IF(I35&gt;O35,0,O35-I35)+200))</f>
        <v/>
      </c>
      <c r="R35" s="15" t="str">
        <f aca="false">IF($C35="","",Q35/IF(H35&lt;200,J35,H35-200+J35))</f>
        <v/>
      </c>
      <c r="S35" s="6" t="str">
        <f aca="false">IF($C35="","",IF(IF(H35&lt;200,J35,H35-200+J35)&gt;Q35,0,Q35-IF(H35&lt;200,J35,H35-200+J35)))</f>
        <v/>
      </c>
      <c r="T35" s="15" t="str">
        <f aca="false">IF($C35="","",S35/(IF(IF(H35&gt;200,I35,I35-(200-H35))&lt;0,0,IF(H35&gt;200,I35,I35-(200-H35)))+(G35-SUM(H35:J35))))</f>
        <v/>
      </c>
      <c r="U35" s="6"/>
      <c r="V35" s="6"/>
    </row>
    <row r="36" customFormat="false" ht="15" hidden="false" customHeight="true" outlineLevel="0" collapsed="false">
      <c r="A36" s="6"/>
      <c r="B36" s="6"/>
      <c r="C36" s="6"/>
      <c r="D36" s="6"/>
      <c r="E36" s="6"/>
      <c r="F36" s="6"/>
      <c r="G36" s="6" t="str">
        <f aca="false">IF($C36="","",C36/$G$1)</f>
        <v/>
      </c>
      <c r="H36" s="6" t="str">
        <f aca="false">IF($C36="","",D36/$G$1)</f>
        <v/>
      </c>
      <c r="I36" s="6" t="str">
        <f aca="false">IF($C36="","",E36/$G$1)</f>
        <v/>
      </c>
      <c r="J36" s="6" t="str">
        <f aca="false">IF($C36="","",F36/$G$1)</f>
        <v/>
      </c>
      <c r="K36" s="6" t="str">
        <f aca="false">IF($C36="","",H36+J36)</f>
        <v/>
      </c>
      <c r="L36" s="6" t="str">
        <f aca="false">IF($C36="","",H36+I36)</f>
        <v/>
      </c>
      <c r="M36" s="14" t="str">
        <f aca="false">IF($C36="","",L36/G36)</f>
        <v/>
      </c>
      <c r="N36" s="15" t="str">
        <f aca="false">IF($C36="","",200/H36)</f>
        <v/>
      </c>
      <c r="O36" s="6" t="str">
        <f aca="false">IF($C36="","",IF(H36&gt;200,0,200-H36))</f>
        <v/>
      </c>
      <c r="P36" s="15" t="str">
        <f aca="false">IF($C36="","",O36/I36)</f>
        <v/>
      </c>
      <c r="Q36" s="6" t="str">
        <f aca="false">IF($C36="","",IF(IF(I36&gt;O36,0,O36-I36)&gt;200,200,IF(I36&gt;O36,0,O36-I36)+200))</f>
        <v/>
      </c>
      <c r="R36" s="15" t="str">
        <f aca="false">IF($C36="","",Q36/IF(H36&lt;200,J36,H36-200+J36))</f>
        <v/>
      </c>
      <c r="S36" s="6" t="str">
        <f aca="false">IF($C36="","",IF(IF(H36&lt;200,J36,H36-200+J36)&gt;Q36,0,Q36-IF(H36&lt;200,J36,H36-200+J36)))</f>
        <v/>
      </c>
      <c r="T36" s="15" t="str">
        <f aca="false">IF($C36="","",S36/(IF(IF(H36&gt;200,I36,I36-(200-H36))&lt;0,0,IF(H36&gt;200,I36,I36-(200-H36)))+(G36-SUM(H36:J36))))</f>
        <v/>
      </c>
      <c r="U36" s="6"/>
      <c r="V36" s="6"/>
    </row>
    <row r="37" customFormat="false" ht="15" hidden="false" customHeight="true" outlineLevel="0" collapsed="false">
      <c r="A37" s="6"/>
      <c r="B37" s="6"/>
      <c r="C37" s="6"/>
      <c r="D37" s="6"/>
      <c r="E37" s="6"/>
      <c r="F37" s="6"/>
      <c r="G37" s="6" t="str">
        <f aca="false">IF($C37="","",C37/$G$1)</f>
        <v/>
      </c>
      <c r="H37" s="6" t="str">
        <f aca="false">IF($C37="","",D37/$G$1)</f>
        <v/>
      </c>
      <c r="I37" s="6" t="str">
        <f aca="false">IF($C37="","",E37/$G$1)</f>
        <v/>
      </c>
      <c r="J37" s="6" t="str">
        <f aca="false">IF($C37="","",F37/$G$1)</f>
        <v/>
      </c>
      <c r="K37" s="6" t="str">
        <f aca="false">IF($C37="","",H37+J37)</f>
        <v/>
      </c>
      <c r="L37" s="6" t="str">
        <f aca="false">IF($C37="","",H37+I37)</f>
        <v/>
      </c>
      <c r="M37" s="14" t="str">
        <f aca="false">IF($C37="","",L37/G37)</f>
        <v/>
      </c>
      <c r="N37" s="15" t="str">
        <f aca="false">IF($C37="","",200/H37)</f>
        <v/>
      </c>
      <c r="O37" s="6" t="str">
        <f aca="false">IF($C37="","",IF(H37&gt;200,0,200-H37))</f>
        <v/>
      </c>
      <c r="P37" s="15" t="str">
        <f aca="false">IF($C37="","",O37/I37)</f>
        <v/>
      </c>
      <c r="Q37" s="6" t="str">
        <f aca="false">IF($C37="","",IF(IF(I37&gt;O37,0,O37-I37)&gt;200,200,IF(I37&gt;O37,0,O37-I37)+200))</f>
        <v/>
      </c>
      <c r="R37" s="15" t="str">
        <f aca="false">IF($C37="","",Q37/IF(H37&lt;200,J37,H37-200+J37))</f>
        <v/>
      </c>
      <c r="S37" s="6" t="str">
        <f aca="false">IF($C37="","",IF(IF(H37&lt;200,J37,H37-200+J37)&gt;Q37,0,Q37-IF(H37&lt;200,J37,H37-200+J37)))</f>
        <v/>
      </c>
      <c r="T37" s="15" t="str">
        <f aca="false">IF($C37="","",S37/(IF(IF(H37&gt;200,I37,I37-(200-H37))&lt;0,0,IF(H37&gt;200,I37,I37-(200-H37)))+(G37-SUM(H37:J37))))</f>
        <v/>
      </c>
      <c r="U37" s="6"/>
      <c r="V37" s="6"/>
    </row>
    <row r="38" customFormat="false" ht="15" hidden="false" customHeight="true" outlineLevel="0" collapsed="false">
      <c r="A38" s="6"/>
      <c r="B38" s="6"/>
      <c r="C38" s="6"/>
      <c r="D38" s="6"/>
      <c r="E38" s="6"/>
      <c r="F38" s="6"/>
      <c r="G38" s="6" t="str">
        <f aca="false">IF($C38="","",C38/$G$1)</f>
        <v/>
      </c>
      <c r="H38" s="6" t="str">
        <f aca="false">IF($C38="","",D38/$G$1)</f>
        <v/>
      </c>
      <c r="I38" s="6" t="str">
        <f aca="false">IF($C38="","",E38/$G$1)</f>
        <v/>
      </c>
      <c r="J38" s="6" t="str">
        <f aca="false">IF($C38="","",F38/$G$1)</f>
        <v/>
      </c>
      <c r="K38" s="6" t="str">
        <f aca="false">IF($C38="","",H38+J38)</f>
        <v/>
      </c>
      <c r="L38" s="6" t="str">
        <f aca="false">IF($C38="","",H38+I38)</f>
        <v/>
      </c>
      <c r="M38" s="14" t="str">
        <f aca="false">IF($C38="","",L38/G38)</f>
        <v/>
      </c>
      <c r="N38" s="15" t="str">
        <f aca="false">IF($C38="","",200/H38)</f>
        <v/>
      </c>
      <c r="O38" s="6" t="str">
        <f aca="false">IF($C38="","",IF(H38&gt;200,0,200-H38))</f>
        <v/>
      </c>
      <c r="P38" s="15" t="str">
        <f aca="false">IF($C38="","",O38/I38)</f>
        <v/>
      </c>
      <c r="Q38" s="6" t="str">
        <f aca="false">IF($C38="","",IF(IF(I38&gt;O38,0,O38-I38)&gt;200,200,IF(I38&gt;O38,0,O38-I38)+200))</f>
        <v/>
      </c>
      <c r="R38" s="15" t="str">
        <f aca="false">IF($C38="","",Q38/IF(H38&lt;200,J38,H38-200+J38))</f>
        <v/>
      </c>
      <c r="S38" s="6" t="str">
        <f aca="false">IF($C38="","",IF(IF(H38&lt;200,J38,H38-200+J38)&gt;Q38,0,Q38-IF(H38&lt;200,J38,H38-200+J38)))</f>
        <v/>
      </c>
      <c r="T38" s="15" t="str">
        <f aca="false">IF($C38="","",S38/(IF(IF(H38&gt;200,I38,I38-(200-H38))&lt;0,0,IF(H38&gt;200,I38,I38-(200-H38)))+(G38-SUM(H38:J38))))</f>
        <v/>
      </c>
      <c r="U38" s="6"/>
      <c r="V38" s="6"/>
    </row>
    <row r="39" customFormat="false" ht="15" hidden="false" customHeight="true" outlineLevel="0" collapsed="false">
      <c r="A39" s="6"/>
      <c r="B39" s="6"/>
      <c r="C39" s="6"/>
      <c r="D39" s="6"/>
      <c r="E39" s="6"/>
      <c r="F39" s="6"/>
      <c r="G39" s="6" t="str">
        <f aca="false">IF($C39="","",C39/$G$1)</f>
        <v/>
      </c>
      <c r="H39" s="6" t="str">
        <f aca="false">IF($C39="","",D39/$G$1)</f>
        <v/>
      </c>
      <c r="I39" s="6" t="str">
        <f aca="false">IF($C39="","",E39/$G$1)</f>
        <v/>
      </c>
      <c r="J39" s="6" t="str">
        <f aca="false">IF($C39="","",F39/$G$1)</f>
        <v/>
      </c>
      <c r="K39" s="6" t="str">
        <f aca="false">IF($C39="","",H39+J39)</f>
        <v/>
      </c>
      <c r="L39" s="6" t="str">
        <f aca="false">IF($C39="","",H39+I39)</f>
        <v/>
      </c>
      <c r="M39" s="14" t="str">
        <f aca="false">IF($C39="","",L39/G39)</f>
        <v/>
      </c>
      <c r="N39" s="15" t="str">
        <f aca="false">IF($C39="","",200/H39)</f>
        <v/>
      </c>
      <c r="O39" s="6" t="str">
        <f aca="false">IF($C39="","",IF(H39&gt;200,0,200-H39))</f>
        <v/>
      </c>
      <c r="P39" s="15" t="str">
        <f aca="false">IF($C39="","",O39/I39)</f>
        <v/>
      </c>
      <c r="Q39" s="6" t="str">
        <f aca="false">IF($C39="","",IF(IF(I39&gt;O39,0,O39-I39)&gt;200,200,IF(I39&gt;O39,0,O39-I39)+200))</f>
        <v/>
      </c>
      <c r="R39" s="15" t="str">
        <f aca="false">IF($C39="","",Q39/IF(H39&lt;200,J39,H39-200+J39))</f>
        <v/>
      </c>
      <c r="S39" s="6" t="str">
        <f aca="false">IF($C39="","",IF(IF(H39&lt;200,J39,H39-200+J39)&gt;Q39,0,Q39-IF(H39&lt;200,J39,H39-200+J39)))</f>
        <v/>
      </c>
      <c r="T39" s="15" t="str">
        <f aca="false">IF($C39="","",S39/(IF(IF(H39&gt;200,I39,I39-(200-H39))&lt;0,0,IF(H39&gt;200,I39,I39-(200-H39)))+(G39-SUM(H39:J39))))</f>
        <v/>
      </c>
      <c r="U39" s="6"/>
      <c r="V39" s="6"/>
    </row>
    <row r="40" customFormat="false" ht="15" hidden="false" customHeight="true" outlineLevel="0" collapsed="false">
      <c r="A40" s="6"/>
      <c r="B40" s="6"/>
      <c r="C40" s="6"/>
      <c r="D40" s="6"/>
      <c r="E40" s="6"/>
      <c r="F40" s="6"/>
      <c r="G40" s="6" t="str">
        <f aca="false">IF($C40="","",C40/$G$1)</f>
        <v/>
      </c>
      <c r="H40" s="6" t="str">
        <f aca="false">IF($C40="","",D40/$G$1)</f>
        <v/>
      </c>
      <c r="I40" s="6" t="str">
        <f aca="false">IF($C40="","",E40/$G$1)</f>
        <v/>
      </c>
      <c r="J40" s="6" t="str">
        <f aca="false">IF($C40="","",F40/$G$1)</f>
        <v/>
      </c>
      <c r="K40" s="6" t="str">
        <f aca="false">IF($C40="","",H40+J40)</f>
        <v/>
      </c>
      <c r="L40" s="6" t="str">
        <f aca="false">IF($C40="","",H40+I40)</f>
        <v/>
      </c>
      <c r="M40" s="14" t="str">
        <f aca="false">IF($C40="","",L40/G40)</f>
        <v/>
      </c>
      <c r="N40" s="15" t="str">
        <f aca="false">IF($C40="","",200/H40)</f>
        <v/>
      </c>
      <c r="O40" s="6" t="str">
        <f aca="false">IF($C40="","",IF(H40&gt;200,0,200-H40))</f>
        <v/>
      </c>
      <c r="P40" s="15" t="str">
        <f aca="false">IF($C40="","",O40/I40)</f>
        <v/>
      </c>
      <c r="Q40" s="6" t="str">
        <f aca="false">IF($C40="","",IF(IF(I40&gt;O40,0,O40-I40)&gt;200,200,IF(I40&gt;O40,0,O40-I40)+200))</f>
        <v/>
      </c>
      <c r="R40" s="15" t="str">
        <f aca="false">IF($C40="","",Q40/IF(H40&lt;200,J40,H40-200+J40))</f>
        <v/>
      </c>
      <c r="S40" s="6" t="str">
        <f aca="false">IF($C40="","",IF(IF(H40&lt;200,J40,H40-200+J40)&gt;Q40,0,Q40-IF(H40&lt;200,J40,H40-200+J40)))</f>
        <v/>
      </c>
      <c r="T40" s="15" t="str">
        <f aca="false">IF($C40="","",S40/(IF(IF(H40&gt;200,I40,I40-(200-H40))&lt;0,0,IF(H40&gt;200,I40,I40-(200-H40)))+(G40-SUM(H40:J40))))</f>
        <v/>
      </c>
      <c r="U40" s="6"/>
      <c r="V40" s="6"/>
    </row>
    <row r="41" customFormat="false" ht="15" hidden="false" customHeight="true" outlineLevel="0" collapsed="false">
      <c r="A41" s="6"/>
      <c r="B41" s="6"/>
      <c r="C41" s="6"/>
      <c r="D41" s="6"/>
      <c r="E41" s="6"/>
      <c r="F41" s="6"/>
      <c r="G41" s="6" t="str">
        <f aca="false">IF($C41="","",C41/$G$1)</f>
        <v/>
      </c>
      <c r="H41" s="6" t="str">
        <f aca="false">IF($C41="","",D41/$G$1)</f>
        <v/>
      </c>
      <c r="I41" s="6" t="str">
        <f aca="false">IF($C41="","",E41/$G$1)</f>
        <v/>
      </c>
      <c r="J41" s="6" t="str">
        <f aca="false">IF($C41="","",F41/$G$1)</f>
        <v/>
      </c>
      <c r="K41" s="6" t="str">
        <f aca="false">IF($C41="","",H41+J41)</f>
        <v/>
      </c>
      <c r="L41" s="6" t="str">
        <f aca="false">IF($C41="","",H41+I41)</f>
        <v/>
      </c>
      <c r="M41" s="14" t="str">
        <f aca="false">IF($C41="","",L41/G41)</f>
        <v/>
      </c>
      <c r="N41" s="15" t="str">
        <f aca="false">IF($C41="","",200/H41)</f>
        <v/>
      </c>
      <c r="O41" s="6" t="str">
        <f aca="false">IF($C41="","",IF(H41&gt;200,0,200-H41))</f>
        <v/>
      </c>
      <c r="P41" s="15" t="str">
        <f aca="false">IF($C41="","",O41/I41)</f>
        <v/>
      </c>
      <c r="Q41" s="6" t="str">
        <f aca="false">IF($C41="","",IF(IF(I41&gt;O41,0,O41-I41)&gt;200,200,IF(I41&gt;O41,0,O41-I41)+200))</f>
        <v/>
      </c>
      <c r="R41" s="15" t="str">
        <f aca="false">IF($C41="","",Q41/IF(H41&lt;200,J41,H41-200+J41))</f>
        <v/>
      </c>
      <c r="S41" s="6" t="str">
        <f aca="false">IF($C41="","",IF(IF(H41&lt;200,J41,H41-200+J41)&gt;Q41,0,Q41-IF(H41&lt;200,J41,H41-200+J41)))</f>
        <v/>
      </c>
      <c r="T41" s="15" t="str">
        <f aca="false">IF($C41="","",S41/(IF(IF(H41&gt;200,I41,I41-(200-H41))&lt;0,0,IF(H41&gt;200,I41,I41-(200-H41)))+(G41-SUM(H41:J41))))</f>
        <v/>
      </c>
      <c r="U41" s="6"/>
      <c r="V41" s="6"/>
    </row>
    <row r="42" customFormat="false" ht="15" hidden="false" customHeight="true" outlineLevel="0" collapsed="false">
      <c r="A42" s="6"/>
      <c r="B42" s="6"/>
      <c r="C42" s="6"/>
      <c r="D42" s="6"/>
      <c r="E42" s="6"/>
      <c r="F42" s="6"/>
      <c r="G42" s="6" t="str">
        <f aca="false">IF($C42="","",C42/$G$1)</f>
        <v/>
      </c>
      <c r="H42" s="6" t="str">
        <f aca="false">IF($C42="","",D42/$G$1)</f>
        <v/>
      </c>
      <c r="I42" s="6" t="str">
        <f aca="false">IF($C42="","",E42/$G$1)</f>
        <v/>
      </c>
      <c r="J42" s="6" t="str">
        <f aca="false">IF($C42="","",F42/$G$1)</f>
        <v/>
      </c>
      <c r="K42" s="6" t="str">
        <f aca="false">IF($C42="","",H42+J42)</f>
        <v/>
      </c>
      <c r="L42" s="6" t="str">
        <f aca="false">IF($C42="","",H42+I42)</f>
        <v/>
      </c>
      <c r="M42" s="14" t="str">
        <f aca="false">IF($C42="","",L42/G42)</f>
        <v/>
      </c>
      <c r="N42" s="15" t="str">
        <f aca="false">IF($C42="","",200/H42)</f>
        <v/>
      </c>
      <c r="O42" s="6" t="str">
        <f aca="false">IF($C42="","",IF(H42&gt;200,0,200-H42))</f>
        <v/>
      </c>
      <c r="P42" s="15" t="str">
        <f aca="false">IF($C42="","",O42/I42)</f>
        <v/>
      </c>
      <c r="Q42" s="6" t="str">
        <f aca="false">IF($C42="","",IF(IF(I42&gt;O42,0,O42-I42)&gt;200,200,IF(I42&gt;O42,0,O42-I42)+200))</f>
        <v/>
      </c>
      <c r="R42" s="15" t="str">
        <f aca="false">IF($C42="","",Q42/IF(H42&lt;200,J42,H42-200+J42))</f>
        <v/>
      </c>
      <c r="S42" s="6" t="str">
        <f aca="false">IF($C42="","",IF(IF(H42&lt;200,J42,H42-200+J42)&gt;Q42,0,Q42-IF(H42&lt;200,J42,H42-200+J42)))</f>
        <v/>
      </c>
      <c r="T42" s="15" t="str">
        <f aca="false">IF($C42="","",S42/(IF(IF(H42&gt;200,I42,I42-(200-H42))&lt;0,0,IF(H42&gt;200,I42,I42-(200-H42)))+(G42-SUM(H42:J42))))</f>
        <v/>
      </c>
      <c r="U42" s="6"/>
      <c r="V42" s="6"/>
    </row>
    <row r="43" customFormat="false" ht="15" hidden="false" customHeight="true" outlineLevel="0" collapsed="false">
      <c r="A43" s="6"/>
      <c r="B43" s="6"/>
      <c r="C43" s="6"/>
      <c r="D43" s="6"/>
      <c r="E43" s="6"/>
      <c r="F43" s="6"/>
      <c r="G43" s="6" t="str">
        <f aca="false">IF($C43="","",C43/$G$1)</f>
        <v/>
      </c>
      <c r="H43" s="6" t="str">
        <f aca="false">IF($C43="","",D43/$G$1)</f>
        <v/>
      </c>
      <c r="I43" s="6" t="str">
        <f aca="false">IF($C43="","",E43/$G$1)</f>
        <v/>
      </c>
      <c r="J43" s="6" t="str">
        <f aca="false">IF($C43="","",F43/$G$1)</f>
        <v/>
      </c>
      <c r="K43" s="6" t="str">
        <f aca="false">IF($C43="","",H43+J43)</f>
        <v/>
      </c>
      <c r="L43" s="6" t="str">
        <f aca="false">IF($C43="","",H43+I43)</f>
        <v/>
      </c>
      <c r="M43" s="14" t="str">
        <f aca="false">IF($C43="","",L43/G43)</f>
        <v/>
      </c>
      <c r="N43" s="15" t="str">
        <f aca="false">IF($C43="","",200/H43)</f>
        <v/>
      </c>
      <c r="O43" s="6" t="str">
        <f aca="false">IF($C43="","",IF(H43&gt;200,0,200-H43))</f>
        <v/>
      </c>
      <c r="P43" s="15" t="str">
        <f aca="false">IF($C43="","",O43/I43)</f>
        <v/>
      </c>
      <c r="Q43" s="6" t="str">
        <f aca="false">IF($C43="","",IF(IF(I43&gt;O43,0,O43-I43)&gt;200,200,IF(I43&gt;O43,0,O43-I43)+200))</f>
        <v/>
      </c>
      <c r="R43" s="15" t="str">
        <f aca="false">IF($C43="","",Q43/IF(H43&lt;200,J43,H43-200+J43))</f>
        <v/>
      </c>
      <c r="S43" s="6" t="str">
        <f aca="false">IF($C43="","",IF(IF(H43&lt;200,J43,H43-200+J43)&gt;Q43,0,Q43-IF(H43&lt;200,J43,H43-200+J43)))</f>
        <v/>
      </c>
      <c r="T43" s="15" t="str">
        <f aca="false">IF($C43="","",S43/(IF(IF(H43&gt;200,I43,I43-(200-H43))&lt;0,0,IF(H43&gt;200,I43,I43-(200-H43)))+(G43-SUM(H43:J43))))</f>
        <v/>
      </c>
      <c r="U43" s="6"/>
      <c r="V43" s="6"/>
    </row>
    <row r="44" customFormat="false" ht="15" hidden="false" customHeight="true" outlineLevel="0" collapsed="false">
      <c r="A44" s="6"/>
      <c r="B44" s="6"/>
      <c r="C44" s="6"/>
      <c r="D44" s="6"/>
      <c r="E44" s="6"/>
      <c r="F44" s="6"/>
      <c r="G44" s="6" t="str">
        <f aca="false">IF($C44="","",C44/$G$1)</f>
        <v/>
      </c>
      <c r="H44" s="6" t="str">
        <f aca="false">IF($C44="","",D44/$G$1)</f>
        <v/>
      </c>
      <c r="I44" s="6" t="str">
        <f aca="false">IF($C44="","",E44/$G$1)</f>
        <v/>
      </c>
      <c r="J44" s="6" t="str">
        <f aca="false">IF($C44="","",F44/$G$1)</f>
        <v/>
      </c>
      <c r="K44" s="6" t="str">
        <f aca="false">IF($C44="","",H44+J44)</f>
        <v/>
      </c>
      <c r="L44" s="6" t="str">
        <f aca="false">IF($C44="","",H44+I44)</f>
        <v/>
      </c>
      <c r="M44" s="14" t="str">
        <f aca="false">IF($C44="","",L44/G44)</f>
        <v/>
      </c>
      <c r="N44" s="15" t="str">
        <f aca="false">IF($C44="","",200/H44)</f>
        <v/>
      </c>
      <c r="O44" s="6" t="str">
        <f aca="false">IF($C44="","",IF(H44&gt;200,0,200-H44))</f>
        <v/>
      </c>
      <c r="P44" s="15" t="str">
        <f aca="false">IF($C44="","",O44/I44)</f>
        <v/>
      </c>
      <c r="Q44" s="6" t="str">
        <f aca="false">IF($C44="","",IF(IF(I44&gt;O44,0,O44-I44)&gt;200,200,IF(I44&gt;O44,0,O44-I44)+200))</f>
        <v/>
      </c>
      <c r="R44" s="15" t="str">
        <f aca="false">IF($C44="","",Q44/IF(H44&lt;200,J44,H44-200+J44))</f>
        <v/>
      </c>
      <c r="S44" s="6" t="str">
        <f aca="false">IF($C44="","",IF(IF(H44&lt;200,J44,H44-200+J44)&gt;Q44,0,Q44-IF(H44&lt;200,J44,H44-200+J44)))</f>
        <v/>
      </c>
      <c r="T44" s="15" t="str">
        <f aca="false">IF($C44="","",S44/(IF(IF(H44&gt;200,I44,I44-(200-H44))&lt;0,0,IF(H44&gt;200,I44,I44-(200-H44)))+(G44-SUM(H44:J44))))</f>
        <v/>
      </c>
      <c r="U44" s="6"/>
      <c r="V44" s="6"/>
    </row>
    <row r="45" customFormat="false" ht="15" hidden="false" customHeight="true" outlineLevel="0" collapsed="false">
      <c r="A45" s="6"/>
      <c r="B45" s="6"/>
      <c r="C45" s="6"/>
      <c r="D45" s="6"/>
      <c r="E45" s="6"/>
      <c r="F45" s="6"/>
      <c r="G45" s="6" t="str">
        <f aca="false">IF($C45="","",C45/$G$1)</f>
        <v/>
      </c>
      <c r="H45" s="6" t="str">
        <f aca="false">IF($C45="","",D45/$G$1)</f>
        <v/>
      </c>
      <c r="I45" s="6" t="str">
        <f aca="false">IF($C45="","",E45/$G$1)</f>
        <v/>
      </c>
      <c r="J45" s="6" t="str">
        <f aca="false">IF($C45="","",F45/$G$1)</f>
        <v/>
      </c>
      <c r="K45" s="6" t="str">
        <f aca="false">IF($C45="","",H45+J45)</f>
        <v/>
      </c>
      <c r="L45" s="6" t="str">
        <f aca="false">IF($C45="","",H45+I45)</f>
        <v/>
      </c>
      <c r="M45" s="14" t="str">
        <f aca="false">IF($C45="","",L45/G45)</f>
        <v/>
      </c>
      <c r="N45" s="15" t="str">
        <f aca="false">IF($C45="","",200/H45)</f>
        <v/>
      </c>
      <c r="O45" s="6" t="str">
        <f aca="false">IF($C45="","",IF(H45&gt;200,0,200-H45))</f>
        <v/>
      </c>
      <c r="P45" s="15" t="str">
        <f aca="false">IF($C45="","",O45/I45)</f>
        <v/>
      </c>
      <c r="Q45" s="6" t="str">
        <f aca="false">IF($C45="","",IF(IF(I45&gt;O45,0,O45-I45)&gt;200,200,IF(I45&gt;O45,0,O45-I45)+200))</f>
        <v/>
      </c>
      <c r="R45" s="15" t="str">
        <f aca="false">IF($C45="","",Q45/IF(H45&lt;200,J45,H45-200+J45))</f>
        <v/>
      </c>
      <c r="S45" s="6" t="str">
        <f aca="false">IF($C45="","",IF(IF(H45&lt;200,J45,H45-200+J45)&gt;Q45,0,Q45-IF(H45&lt;200,J45,H45-200+J45)))</f>
        <v/>
      </c>
      <c r="T45" s="15" t="str">
        <f aca="false">IF($C45="","",S45/(IF(IF(H45&gt;200,I45,I45-(200-H45))&lt;0,0,IF(H45&gt;200,I45,I45-(200-H45)))+(G45-SUM(H45:J45))))</f>
        <v/>
      </c>
      <c r="U45" s="6"/>
      <c r="V45" s="6"/>
    </row>
    <row r="46" customFormat="false" ht="15" hidden="false" customHeight="true" outlineLevel="0" collapsed="false">
      <c r="A46" s="6"/>
      <c r="B46" s="6"/>
      <c r="C46" s="6"/>
      <c r="D46" s="6"/>
      <c r="E46" s="6"/>
      <c r="F46" s="6"/>
      <c r="G46" s="6" t="str">
        <f aca="false">IF($C46="","",C46/$G$1)</f>
        <v/>
      </c>
      <c r="H46" s="6" t="str">
        <f aca="false">IF($C46="","",D46/$G$1)</f>
        <v/>
      </c>
      <c r="I46" s="6" t="str">
        <f aca="false">IF($C46="","",E46/$G$1)</f>
        <v/>
      </c>
      <c r="J46" s="6" t="str">
        <f aca="false">IF($C46="","",F46/$G$1)</f>
        <v/>
      </c>
      <c r="K46" s="6" t="str">
        <f aca="false">IF($C46="","",H46+J46)</f>
        <v/>
      </c>
      <c r="L46" s="6" t="str">
        <f aca="false">IF($C46="","",H46+I46)</f>
        <v/>
      </c>
      <c r="M46" s="14" t="str">
        <f aca="false">IF($C46="","",L46/G46)</f>
        <v/>
      </c>
      <c r="N46" s="15" t="str">
        <f aca="false">IF($C46="","",200/H46)</f>
        <v/>
      </c>
      <c r="O46" s="6" t="str">
        <f aca="false">IF($C46="","",IF(H46&gt;200,0,200-H46))</f>
        <v/>
      </c>
      <c r="P46" s="15" t="str">
        <f aca="false">IF($C46="","",O46/I46)</f>
        <v/>
      </c>
      <c r="Q46" s="6" t="str">
        <f aca="false">IF($C46="","",IF(IF(I46&gt;O46,0,O46-I46)&gt;200,200,IF(I46&gt;O46,0,O46-I46)+200))</f>
        <v/>
      </c>
      <c r="R46" s="15" t="str">
        <f aca="false">IF($C46="","",Q46/IF(H46&lt;200,J46,H46-200+J46))</f>
        <v/>
      </c>
      <c r="S46" s="6" t="str">
        <f aca="false">IF($C46="","",IF(IF(H46&lt;200,J46,H46-200+J46)&gt;Q46,0,Q46-IF(H46&lt;200,J46,H46-200+J46)))</f>
        <v/>
      </c>
      <c r="T46" s="15" t="str">
        <f aca="false">IF($C46="","",S46/(IF(IF(H46&gt;200,I46,I46-(200-H46))&lt;0,0,IF(H46&gt;200,I46,I46-(200-H46)))+(G46-SUM(H46:J46))))</f>
        <v/>
      </c>
      <c r="U46" s="6"/>
      <c r="V46" s="6"/>
    </row>
    <row r="47" customFormat="false" ht="15" hidden="false" customHeight="true" outlineLevel="0" collapsed="false">
      <c r="A47" s="6"/>
      <c r="B47" s="6"/>
      <c r="C47" s="6"/>
      <c r="D47" s="6"/>
      <c r="E47" s="6"/>
      <c r="F47" s="6"/>
      <c r="G47" s="6" t="str">
        <f aca="false">IF($C47="","",C47/$G$1)</f>
        <v/>
      </c>
      <c r="H47" s="6" t="str">
        <f aca="false">IF($C47="","",D47/$G$1)</f>
        <v/>
      </c>
      <c r="I47" s="6" t="str">
        <f aca="false">IF($C47="","",E47/$G$1)</f>
        <v/>
      </c>
      <c r="J47" s="6" t="str">
        <f aca="false">IF($C47="","",F47/$G$1)</f>
        <v/>
      </c>
      <c r="K47" s="6" t="str">
        <f aca="false">IF($C47="","",H47+J47)</f>
        <v/>
      </c>
      <c r="L47" s="6" t="str">
        <f aca="false">IF($C47="","",H47+I47)</f>
        <v/>
      </c>
      <c r="M47" s="14" t="str">
        <f aca="false">IF($C47="","",L47/G47)</f>
        <v/>
      </c>
      <c r="N47" s="15" t="str">
        <f aca="false">IF($C47="","",200/H47)</f>
        <v/>
      </c>
      <c r="O47" s="6" t="str">
        <f aca="false">IF($C47="","",IF(H47&gt;200,0,200-H47))</f>
        <v/>
      </c>
      <c r="P47" s="15" t="str">
        <f aca="false">IF($C47="","",O47/I47)</f>
        <v/>
      </c>
      <c r="Q47" s="6" t="str">
        <f aca="false">IF($C47="","",IF(IF(I47&gt;O47,0,O47-I47)&gt;200,200,IF(I47&gt;O47,0,O47-I47)+200))</f>
        <v/>
      </c>
      <c r="R47" s="15" t="str">
        <f aca="false">IF($C47="","",Q47/IF(H47&lt;200,J47,H47-200+J47))</f>
        <v/>
      </c>
      <c r="S47" s="6" t="str">
        <f aca="false">IF($C47="","",IF(IF(H47&lt;200,J47,H47-200+J47)&gt;Q47,0,Q47-IF(H47&lt;200,J47,H47-200+J47)))</f>
        <v/>
      </c>
      <c r="T47" s="15" t="str">
        <f aca="false">IF($C47="","",S47/(IF(IF(H47&gt;200,I47,I47-(200-H47))&lt;0,0,IF(H47&gt;200,I47,I47-(200-H47)))+(G47-SUM(H47:J47))))</f>
        <v/>
      </c>
      <c r="U47" s="6"/>
      <c r="V47" s="6"/>
    </row>
    <row r="48" customFormat="false" ht="15" hidden="false" customHeight="true" outlineLevel="0" collapsed="false">
      <c r="A48" s="6"/>
      <c r="B48" s="6"/>
      <c r="C48" s="6"/>
      <c r="D48" s="6"/>
      <c r="E48" s="6"/>
      <c r="F48" s="6"/>
      <c r="G48" s="6" t="str">
        <f aca="false">IF($C48="","",C48/$G$1)</f>
        <v/>
      </c>
      <c r="H48" s="6" t="str">
        <f aca="false">IF($C48="","",D48/$G$1)</f>
        <v/>
      </c>
      <c r="I48" s="6" t="str">
        <f aca="false">IF($C48="","",E48/$G$1)</f>
        <v/>
      </c>
      <c r="J48" s="6" t="str">
        <f aca="false">IF($C48="","",F48/$G$1)</f>
        <v/>
      </c>
      <c r="K48" s="6" t="str">
        <f aca="false">IF($C48="","",H48+J48)</f>
        <v/>
      </c>
      <c r="L48" s="6" t="str">
        <f aca="false">IF($C48="","",H48+I48)</f>
        <v/>
      </c>
      <c r="M48" s="14" t="str">
        <f aca="false">IF($C48="","",L48/G48)</f>
        <v/>
      </c>
      <c r="N48" s="15" t="str">
        <f aca="false">IF($C48="","",200/H48)</f>
        <v/>
      </c>
      <c r="O48" s="6" t="str">
        <f aca="false">IF($C48="","",IF(H48&gt;200,0,200-H48))</f>
        <v/>
      </c>
      <c r="P48" s="15" t="str">
        <f aca="false">IF($C48="","",O48/I48)</f>
        <v/>
      </c>
      <c r="Q48" s="6" t="str">
        <f aca="false">IF($C48="","",IF(IF(I48&gt;O48,0,O48-I48)&gt;200,200,IF(I48&gt;O48,0,O48-I48)+200))</f>
        <v/>
      </c>
      <c r="R48" s="15" t="str">
        <f aca="false">IF($C48="","",Q48/IF(H48&lt;200,J48,H48-200+J48))</f>
        <v/>
      </c>
      <c r="S48" s="6" t="str">
        <f aca="false">IF($C48="","",IF(IF(H48&lt;200,J48,H48-200+J48)&gt;Q48,0,Q48-IF(H48&lt;200,J48,H48-200+J48)))</f>
        <v/>
      </c>
      <c r="T48" s="15" t="str">
        <f aca="false">IF($C48="","",S48/(IF(IF(H48&gt;200,I48,I48-(200-H48))&lt;0,0,IF(H48&gt;200,I48,I48-(200-H48)))+(G48-SUM(H48:J48))))</f>
        <v/>
      </c>
      <c r="U48" s="6"/>
      <c r="V48" s="6"/>
    </row>
    <row r="49" customFormat="false" ht="15" hidden="false" customHeight="true" outlineLevel="0" collapsed="false">
      <c r="A49" s="6"/>
      <c r="B49" s="6"/>
      <c r="C49" s="6"/>
      <c r="D49" s="6"/>
      <c r="E49" s="6"/>
      <c r="F49" s="6"/>
      <c r="G49" s="6" t="str">
        <f aca="false">IF($C49="","",C49/$G$1)</f>
        <v/>
      </c>
      <c r="H49" s="6" t="str">
        <f aca="false">IF($C49="","",D49/$G$1)</f>
        <v/>
      </c>
      <c r="I49" s="6" t="str">
        <f aca="false">IF($C49="","",E49/$G$1)</f>
        <v/>
      </c>
      <c r="J49" s="6" t="str">
        <f aca="false">IF($C49="","",F49/$G$1)</f>
        <v/>
      </c>
      <c r="K49" s="6" t="str">
        <f aca="false">IF($C49="","",H49+J49)</f>
        <v/>
      </c>
      <c r="L49" s="6" t="str">
        <f aca="false">IF($C49="","",H49+I49)</f>
        <v/>
      </c>
      <c r="M49" s="14" t="str">
        <f aca="false">IF($C49="","",L49/G49)</f>
        <v/>
      </c>
      <c r="N49" s="15" t="str">
        <f aca="false">IF($C49="","",200/H49)</f>
        <v/>
      </c>
      <c r="O49" s="6" t="str">
        <f aca="false">IF($C49="","",IF(H49&gt;200,0,200-H49))</f>
        <v/>
      </c>
      <c r="P49" s="15" t="str">
        <f aca="false">IF($C49="","",O49/I49)</f>
        <v/>
      </c>
      <c r="Q49" s="6" t="str">
        <f aca="false">IF($C49="","",IF(IF(I49&gt;O49,0,O49-I49)&gt;200,200,IF(I49&gt;O49,0,O49-I49)+200))</f>
        <v/>
      </c>
      <c r="R49" s="15" t="str">
        <f aca="false">IF($C49="","",Q49/IF(H49&lt;200,J49,H49-200+J49))</f>
        <v/>
      </c>
      <c r="S49" s="6" t="str">
        <f aca="false">IF($C49="","",IF(IF(H49&lt;200,J49,H49-200+J49)&gt;Q49,0,Q49-IF(H49&lt;200,J49,H49-200+J49)))</f>
        <v/>
      </c>
      <c r="T49" s="15" t="str">
        <f aca="false">IF($C49="","",S49/(IF(IF(H49&gt;200,I49,I49-(200-H49))&lt;0,0,IF(H49&gt;200,I49,I49-(200-H49)))+(G49-SUM(H49:J49))))</f>
        <v/>
      </c>
      <c r="U49" s="6"/>
      <c r="V49" s="6"/>
    </row>
    <row r="50" customFormat="false" ht="15" hidden="false" customHeight="true" outlineLevel="0" collapsed="false">
      <c r="A50" s="6"/>
      <c r="B50" s="6"/>
      <c r="C50" s="6"/>
      <c r="D50" s="6"/>
      <c r="E50" s="6"/>
      <c r="F50" s="6"/>
      <c r="G50" s="6" t="str">
        <f aca="false">IF($C50="","",C50/$G$1)</f>
        <v/>
      </c>
      <c r="H50" s="6" t="str">
        <f aca="false">IF($C50="","",D50/$G$1)</f>
        <v/>
      </c>
      <c r="I50" s="6" t="str">
        <f aca="false">IF($C50="","",E50/$G$1)</f>
        <v/>
      </c>
      <c r="J50" s="6" t="str">
        <f aca="false">IF($C50="","",F50/$G$1)</f>
        <v/>
      </c>
      <c r="K50" s="6" t="str">
        <f aca="false">IF($C50="","",H50+J50)</f>
        <v/>
      </c>
      <c r="L50" s="6" t="str">
        <f aca="false">IF($C50="","",H50+I50)</f>
        <v/>
      </c>
      <c r="M50" s="14" t="str">
        <f aca="false">IF($C50="","",L50/G50)</f>
        <v/>
      </c>
      <c r="N50" s="15" t="str">
        <f aca="false">IF($C50="","",200/H50)</f>
        <v/>
      </c>
      <c r="O50" s="6" t="str">
        <f aca="false">IF($C50="","",IF(H50&gt;200,0,200-H50))</f>
        <v/>
      </c>
      <c r="P50" s="15" t="str">
        <f aca="false">IF($C50="","",O50/I50)</f>
        <v/>
      </c>
      <c r="Q50" s="6" t="str">
        <f aca="false">IF($C50="","",IF(IF(I50&gt;O50,0,O50-I50)&gt;200,200,IF(I50&gt;O50,0,O50-I50)+200))</f>
        <v/>
      </c>
      <c r="R50" s="15" t="str">
        <f aca="false">IF($C50="","",Q50/IF(H50&lt;200,J50,H50-200+J50))</f>
        <v/>
      </c>
      <c r="S50" s="6" t="str">
        <f aca="false">IF($C50="","",IF(IF(H50&lt;200,J50,H50-200+J50)&gt;Q50,0,Q50-IF(H50&lt;200,J50,H50-200+J50)))</f>
        <v/>
      </c>
      <c r="T50" s="15" t="str">
        <f aca="false">IF($C50="","",S50/(IF(IF(H50&gt;200,I50,I50-(200-H50))&lt;0,0,IF(H50&gt;200,I50,I50-(200-H50)))+(G50-SUM(H50:J50))))</f>
        <v/>
      </c>
      <c r="U50" s="6"/>
      <c r="V50" s="6"/>
    </row>
    <row r="51" customFormat="false" ht="15" hidden="false" customHeight="true" outlineLevel="0" collapsed="false">
      <c r="A51" s="6"/>
      <c r="B51" s="6"/>
      <c r="C51" s="6"/>
      <c r="D51" s="6"/>
      <c r="E51" s="6"/>
      <c r="F51" s="6"/>
      <c r="G51" s="6" t="str">
        <f aca="false">IF($C51="","",C51/$G$1)</f>
        <v/>
      </c>
      <c r="H51" s="6" t="str">
        <f aca="false">IF($C51="","",D51/$G$1)</f>
        <v/>
      </c>
      <c r="I51" s="6" t="str">
        <f aca="false">IF($C51="","",E51/$G$1)</f>
        <v/>
      </c>
      <c r="J51" s="6" t="str">
        <f aca="false">IF($C51="","",F51/$G$1)</f>
        <v/>
      </c>
      <c r="K51" s="6" t="str">
        <f aca="false">IF($C51="","",H51+J51)</f>
        <v/>
      </c>
      <c r="L51" s="6" t="str">
        <f aca="false">IF($C51="","",H51+I51)</f>
        <v/>
      </c>
      <c r="M51" s="14" t="str">
        <f aca="false">IF($C51="","",L51/G51)</f>
        <v/>
      </c>
      <c r="N51" s="15" t="str">
        <f aca="false">IF($C51="","",200/H51)</f>
        <v/>
      </c>
      <c r="O51" s="6" t="str">
        <f aca="false">IF($C51="","",IF(H51&gt;200,0,200-H51))</f>
        <v/>
      </c>
      <c r="P51" s="15" t="str">
        <f aca="false">IF($C51="","",O51/I51)</f>
        <v/>
      </c>
      <c r="Q51" s="6" t="str">
        <f aca="false">IF($C51="","",IF(IF(I51&gt;O51,0,O51-I51)&gt;200,200,IF(I51&gt;O51,0,O51-I51)+200))</f>
        <v/>
      </c>
      <c r="R51" s="15" t="str">
        <f aca="false">IF($C51="","",Q51/IF(H51&lt;200,J51,H51-200+J51))</f>
        <v/>
      </c>
      <c r="S51" s="6" t="str">
        <f aca="false">IF($C51="","",IF(IF(H51&lt;200,J51,H51-200+J51)&gt;Q51,0,Q51-IF(H51&lt;200,J51,H51-200+J51)))</f>
        <v/>
      </c>
      <c r="T51" s="15" t="str">
        <f aca="false">IF($C51="","",S51/(IF(IF(H51&gt;200,I51,I51-(200-H51))&lt;0,0,IF(H51&gt;200,I51,I51-(200-H51)))+(G51-SUM(H51:J51))))</f>
        <v/>
      </c>
      <c r="U51" s="6"/>
      <c r="V51" s="6"/>
    </row>
    <row r="52" customFormat="false" ht="15" hidden="false" customHeight="true" outlineLevel="0" collapsed="false">
      <c r="A52" s="6"/>
      <c r="B52" s="6"/>
      <c r="C52" s="6"/>
      <c r="D52" s="6"/>
      <c r="E52" s="6"/>
      <c r="F52" s="6"/>
      <c r="G52" s="6" t="str">
        <f aca="false">IF($C52="","",C52/$G$1)</f>
        <v/>
      </c>
      <c r="H52" s="6" t="str">
        <f aca="false">IF($C52="","",D52/$G$1)</f>
        <v/>
      </c>
      <c r="I52" s="6" t="str">
        <f aca="false">IF($C52="","",E52/$G$1)</f>
        <v/>
      </c>
      <c r="J52" s="6" t="str">
        <f aca="false">IF($C52="","",F52/$G$1)</f>
        <v/>
      </c>
      <c r="K52" s="6" t="str">
        <f aca="false">IF($C52="","",H52+J52)</f>
        <v/>
      </c>
      <c r="L52" s="6" t="str">
        <f aca="false">IF($C52="","",H52+I52)</f>
        <v/>
      </c>
      <c r="M52" s="14" t="str">
        <f aca="false">IF($C52="","",L52/G52)</f>
        <v/>
      </c>
      <c r="N52" s="15" t="str">
        <f aca="false">IF($C52="","",200/H52)</f>
        <v/>
      </c>
      <c r="O52" s="6" t="str">
        <f aca="false">IF($C52="","",IF(H52&gt;200,0,200-H52))</f>
        <v/>
      </c>
      <c r="P52" s="15" t="str">
        <f aca="false">IF($C52="","",O52/I52)</f>
        <v/>
      </c>
      <c r="Q52" s="6" t="str">
        <f aca="false">IF($C52="","",IF(IF(I52&gt;O52,0,O52-I52)&gt;200,200,IF(I52&gt;O52,0,O52-I52)+200))</f>
        <v/>
      </c>
      <c r="R52" s="15" t="str">
        <f aca="false">IF($C52="","",Q52/IF(H52&lt;200,J52,H52-200+J52))</f>
        <v/>
      </c>
      <c r="S52" s="6" t="str">
        <f aca="false">IF($C52="","",IF(IF(H52&lt;200,J52,H52-200+J52)&gt;Q52,0,Q52-IF(H52&lt;200,J52,H52-200+J52)))</f>
        <v/>
      </c>
      <c r="T52" s="15" t="str">
        <f aca="false">IF($C52="","",S52/(IF(IF(H52&gt;200,I52,I52-(200-H52))&lt;0,0,IF(H52&gt;200,I52,I52-(200-H52)))+(G52-SUM(H52:J52))))</f>
        <v/>
      </c>
      <c r="U52" s="6"/>
      <c r="V52" s="6"/>
    </row>
    <row r="53" customFormat="false" ht="15" hidden="false" customHeight="true" outlineLevel="0" collapsed="false">
      <c r="A53" s="6"/>
      <c r="B53" s="6"/>
      <c r="C53" s="6"/>
      <c r="D53" s="6"/>
      <c r="E53" s="6"/>
      <c r="F53" s="6"/>
      <c r="G53" s="6" t="str">
        <f aca="false">IF($C53="","",C53/$G$1)</f>
        <v/>
      </c>
      <c r="H53" s="6" t="str">
        <f aca="false">IF($C53="","",D53/$G$1)</f>
        <v/>
      </c>
      <c r="I53" s="6" t="str">
        <f aca="false">IF($C53="","",E53/$G$1)</f>
        <v/>
      </c>
      <c r="J53" s="6" t="str">
        <f aca="false">IF($C53="","",F53/$G$1)</f>
        <v/>
      </c>
      <c r="K53" s="6" t="str">
        <f aca="false">IF($C53="","",H53+J53)</f>
        <v/>
      </c>
      <c r="L53" s="6" t="str">
        <f aca="false">IF($C53="","",H53+I53)</f>
        <v/>
      </c>
      <c r="M53" s="14" t="str">
        <f aca="false">IF($C53="","",L53/G53)</f>
        <v/>
      </c>
      <c r="N53" s="15" t="str">
        <f aca="false">IF($C53="","",200/H53)</f>
        <v/>
      </c>
      <c r="O53" s="6" t="str">
        <f aca="false">IF($C53="","",IF(H53&gt;200,0,200-H53))</f>
        <v/>
      </c>
      <c r="P53" s="15" t="str">
        <f aca="false">IF($C53="","",O53/I53)</f>
        <v/>
      </c>
      <c r="Q53" s="6" t="str">
        <f aca="false">IF($C53="","",IF(IF(I53&gt;O53,0,O53-I53)&gt;200,200,IF(I53&gt;O53,0,O53-I53)+200))</f>
        <v/>
      </c>
      <c r="R53" s="15" t="str">
        <f aca="false">IF($C53="","",Q53/IF(H53&lt;200,J53,H53-200+J53))</f>
        <v/>
      </c>
      <c r="S53" s="6" t="str">
        <f aca="false">IF($C53="","",IF(IF(H53&lt;200,J53,H53-200+J53)&gt;Q53,0,Q53-IF(H53&lt;200,J53,H53-200+J53)))</f>
        <v/>
      </c>
      <c r="T53" s="15" t="str">
        <f aca="false">IF($C53="","",S53/(IF(IF(H53&gt;200,I53,I53-(200-H53))&lt;0,0,IF(H53&gt;200,I53,I53-(200-H53)))+(G53-SUM(H53:J53))))</f>
        <v/>
      </c>
      <c r="U53" s="6"/>
      <c r="V53" s="6"/>
    </row>
    <row r="54" customFormat="false" ht="15" hidden="false" customHeight="true" outlineLevel="0" collapsed="false">
      <c r="A54" s="6"/>
      <c r="B54" s="6"/>
      <c r="C54" s="6"/>
      <c r="D54" s="6"/>
      <c r="E54" s="6"/>
      <c r="F54" s="6"/>
      <c r="G54" s="6" t="str">
        <f aca="false">IF($C54="","",C54/$G$1)</f>
        <v/>
      </c>
      <c r="H54" s="6" t="str">
        <f aca="false">IF($C54="","",D54/$G$1)</f>
        <v/>
      </c>
      <c r="I54" s="6" t="str">
        <f aca="false">IF($C54="","",E54/$G$1)</f>
        <v/>
      </c>
      <c r="J54" s="6" t="str">
        <f aca="false">IF($C54="","",F54/$G$1)</f>
        <v/>
      </c>
      <c r="K54" s="6" t="str">
        <f aca="false">IF($C54="","",H54+J54)</f>
        <v/>
      </c>
      <c r="L54" s="6" t="str">
        <f aca="false">IF($C54="","",H54+I54)</f>
        <v/>
      </c>
      <c r="M54" s="14" t="str">
        <f aca="false">IF($C54="","",L54/G54)</f>
        <v/>
      </c>
      <c r="N54" s="15" t="str">
        <f aca="false">IF($C54="","",200/H54)</f>
        <v/>
      </c>
      <c r="O54" s="6" t="str">
        <f aca="false">IF($C54="","",IF(H54&gt;200,0,200-H54))</f>
        <v/>
      </c>
      <c r="P54" s="15" t="str">
        <f aca="false">IF($C54="","",O54/I54)</f>
        <v/>
      </c>
      <c r="Q54" s="6" t="str">
        <f aca="false">IF($C54="","",IF(IF(I54&gt;O54,0,O54-I54)&gt;200,200,IF(I54&gt;O54,0,O54-I54)+200))</f>
        <v/>
      </c>
      <c r="R54" s="15" t="str">
        <f aca="false">IF($C54="","",Q54/IF(H54&lt;200,J54,H54-200+J54))</f>
        <v/>
      </c>
      <c r="S54" s="6" t="str">
        <f aca="false">IF($C54="","",IF(IF(H54&lt;200,J54,H54-200+J54)&gt;Q54,0,Q54-IF(H54&lt;200,J54,H54-200+J54)))</f>
        <v/>
      </c>
      <c r="T54" s="15" t="str">
        <f aca="false">IF($C54="","",S54/(IF(IF(H54&gt;200,I54,I54-(200-H54))&lt;0,0,IF(H54&gt;200,I54,I54-(200-H54)))+(G54-SUM(H54:J54))))</f>
        <v/>
      </c>
      <c r="U54" s="6"/>
      <c r="V54" s="6"/>
    </row>
    <row r="55" customFormat="false" ht="15" hidden="false" customHeight="true" outlineLevel="0" collapsed="false">
      <c r="A55" s="6"/>
      <c r="B55" s="6"/>
      <c r="C55" s="6"/>
      <c r="D55" s="6"/>
      <c r="E55" s="6"/>
      <c r="F55" s="6"/>
      <c r="G55" s="6" t="str">
        <f aca="false">IF($C55="","",C55/$G$1)</f>
        <v/>
      </c>
      <c r="H55" s="6" t="str">
        <f aca="false">IF($C55="","",D55/$G$1)</f>
        <v/>
      </c>
      <c r="I55" s="6" t="str">
        <f aca="false">IF($C55="","",E55/$G$1)</f>
        <v/>
      </c>
      <c r="J55" s="6" t="str">
        <f aca="false">IF($C55="","",F55/$G$1)</f>
        <v/>
      </c>
      <c r="K55" s="6" t="str">
        <f aca="false">IF($C55="","",H55+J55)</f>
        <v/>
      </c>
      <c r="L55" s="6" t="str">
        <f aca="false">IF($C55="","",H55+I55)</f>
        <v/>
      </c>
      <c r="M55" s="14" t="str">
        <f aca="false">IF($C55="","",L55/G55)</f>
        <v/>
      </c>
      <c r="N55" s="15" t="str">
        <f aca="false">IF($C55="","",200/H55)</f>
        <v/>
      </c>
      <c r="O55" s="6" t="str">
        <f aca="false">IF($C55="","",IF(H55&gt;200,0,200-H55))</f>
        <v/>
      </c>
      <c r="P55" s="15" t="str">
        <f aca="false">IF($C55="","",O55/I55)</f>
        <v/>
      </c>
      <c r="Q55" s="6" t="str">
        <f aca="false">IF($C55="","",IF(IF(I55&gt;O55,0,O55-I55)&gt;200,200,IF(I55&gt;O55,0,O55-I55)+200))</f>
        <v/>
      </c>
      <c r="R55" s="15" t="str">
        <f aca="false">IF($C55="","",Q55/IF(H55&lt;200,J55,H55-200+J55))</f>
        <v/>
      </c>
      <c r="S55" s="6" t="str">
        <f aca="false">IF($C55="","",IF(IF(H55&lt;200,J55,H55-200+J55)&gt;Q55,0,Q55-IF(H55&lt;200,J55,H55-200+J55)))</f>
        <v/>
      </c>
      <c r="T55" s="15" t="str">
        <f aca="false">IF($C55="","",S55/(IF(IF(H55&gt;200,I55,I55-(200-H55))&lt;0,0,IF(H55&gt;200,I55,I55-(200-H55)))+(G55-SUM(H55:J55))))</f>
        <v/>
      </c>
      <c r="U55" s="6"/>
      <c r="V55" s="6"/>
    </row>
    <row r="56" customFormat="false" ht="15" hidden="false" customHeight="true" outlineLevel="0" collapsed="false">
      <c r="A56" s="6"/>
      <c r="B56" s="6"/>
      <c r="C56" s="6"/>
      <c r="D56" s="6"/>
      <c r="E56" s="6"/>
      <c r="F56" s="6"/>
      <c r="G56" s="6" t="str">
        <f aca="false">IF($C56="","",C56/$G$1)</f>
        <v/>
      </c>
      <c r="H56" s="6" t="str">
        <f aca="false">IF($C56="","",D56/$G$1)</f>
        <v/>
      </c>
      <c r="I56" s="6" t="str">
        <f aca="false">IF($C56="","",E56/$G$1)</f>
        <v/>
      </c>
      <c r="J56" s="6" t="str">
        <f aca="false">IF($C56="","",F56/$G$1)</f>
        <v/>
      </c>
      <c r="K56" s="6" t="str">
        <f aca="false">IF($C56="","",H56+J56)</f>
        <v/>
      </c>
      <c r="L56" s="6" t="str">
        <f aca="false">IF($C56="","",H56+I56)</f>
        <v/>
      </c>
      <c r="M56" s="14" t="str">
        <f aca="false">IF($C56="","",L56/G56)</f>
        <v/>
      </c>
      <c r="N56" s="15" t="str">
        <f aca="false">IF($C56="","",200/H56)</f>
        <v/>
      </c>
      <c r="O56" s="6" t="str">
        <f aca="false">IF($C56="","",IF(H56&gt;200,0,200-H56))</f>
        <v/>
      </c>
      <c r="P56" s="15" t="str">
        <f aca="false">IF($C56="","",O56/I56)</f>
        <v/>
      </c>
      <c r="Q56" s="6" t="str">
        <f aca="false">IF($C56="","",IF(IF(I56&gt;O56,0,O56-I56)&gt;200,200,IF(I56&gt;O56,0,O56-I56)+200))</f>
        <v/>
      </c>
      <c r="R56" s="15" t="str">
        <f aca="false">IF($C56="","",Q56/IF(H56&lt;200,J56,H56-200+J56))</f>
        <v/>
      </c>
      <c r="S56" s="6" t="str">
        <f aca="false">IF($C56="","",IF(IF(H56&lt;200,J56,H56-200+J56)&gt;Q56,0,Q56-IF(H56&lt;200,J56,H56-200+J56)))</f>
        <v/>
      </c>
      <c r="T56" s="15" t="str">
        <f aca="false">IF($C56="","",S56/(IF(IF(H56&gt;200,I56,I56-(200-H56))&lt;0,0,IF(H56&gt;200,I56,I56-(200-H56)))+(G56-SUM(H56:J56))))</f>
        <v/>
      </c>
      <c r="U56" s="6"/>
      <c r="V56" s="6"/>
    </row>
    <row r="57" customFormat="false" ht="15" hidden="false" customHeight="true" outlineLevel="0" collapsed="false">
      <c r="A57" s="6"/>
      <c r="B57" s="6"/>
      <c r="C57" s="6"/>
      <c r="D57" s="6"/>
      <c r="E57" s="6"/>
      <c r="F57" s="6"/>
      <c r="G57" s="6" t="str">
        <f aca="false">IF($C57="","",C57/$G$1)</f>
        <v/>
      </c>
      <c r="H57" s="6" t="str">
        <f aca="false">IF($C57="","",D57/$G$1)</f>
        <v/>
      </c>
      <c r="I57" s="6" t="str">
        <f aca="false">IF($C57="","",E57/$G$1)</f>
        <v/>
      </c>
      <c r="J57" s="6" t="str">
        <f aca="false">IF($C57="","",F57/$G$1)</f>
        <v/>
      </c>
      <c r="K57" s="6" t="str">
        <f aca="false">IF($C57="","",H57+J57)</f>
        <v/>
      </c>
      <c r="L57" s="6" t="str">
        <f aca="false">IF($C57="","",H57+I57)</f>
        <v/>
      </c>
      <c r="M57" s="14" t="str">
        <f aca="false">IF($C57="","",L57/G57)</f>
        <v/>
      </c>
      <c r="N57" s="15" t="str">
        <f aca="false">IF($C57="","",200/H57)</f>
        <v/>
      </c>
      <c r="O57" s="6" t="str">
        <f aca="false">IF($C57="","",IF(H57&gt;200,0,200-H57))</f>
        <v/>
      </c>
      <c r="P57" s="15" t="str">
        <f aca="false">IF($C57="","",O57/I57)</f>
        <v/>
      </c>
      <c r="Q57" s="6" t="str">
        <f aca="false">IF($C57="","",IF(IF(I57&gt;O57,0,O57-I57)&gt;200,200,IF(I57&gt;O57,0,O57-I57)+200))</f>
        <v/>
      </c>
      <c r="R57" s="15" t="str">
        <f aca="false">IF($C57="","",Q57/IF(H57&lt;200,J57,H57-200+J57))</f>
        <v/>
      </c>
      <c r="S57" s="6" t="str">
        <f aca="false">IF($C57="","",IF(IF(H57&lt;200,J57,H57-200+J57)&gt;Q57,0,Q57-IF(H57&lt;200,J57,H57-200+J57)))</f>
        <v/>
      </c>
      <c r="T57" s="15" t="str">
        <f aca="false">IF($C57="","",S57/(IF(IF(H57&gt;200,I57,I57-(200-H57))&lt;0,0,IF(H57&gt;200,I57,I57-(200-H57)))+(G57-SUM(H57:J57))))</f>
        <v/>
      </c>
      <c r="U57" s="6"/>
      <c r="V57" s="6"/>
    </row>
    <row r="58" customFormat="false" ht="15" hidden="false" customHeight="true" outlineLevel="0" collapsed="false">
      <c r="A58" s="6"/>
      <c r="B58" s="6"/>
      <c r="C58" s="6"/>
      <c r="D58" s="6"/>
      <c r="E58" s="6"/>
      <c r="F58" s="6"/>
      <c r="G58" s="6" t="str">
        <f aca="false">IF($C58="","",C58/$G$1)</f>
        <v/>
      </c>
      <c r="H58" s="6" t="str">
        <f aca="false">IF($C58="","",D58/$G$1)</f>
        <v/>
      </c>
      <c r="I58" s="6" t="str">
        <f aca="false">IF($C58="","",E58/$G$1)</f>
        <v/>
      </c>
      <c r="J58" s="6" t="str">
        <f aca="false">IF($C58="","",F58/$G$1)</f>
        <v/>
      </c>
      <c r="K58" s="6" t="str">
        <f aca="false">IF($C58="","",H58+J58)</f>
        <v/>
      </c>
      <c r="L58" s="6" t="str">
        <f aca="false">IF($C58="","",H58+I58)</f>
        <v/>
      </c>
      <c r="M58" s="14" t="str">
        <f aca="false">IF($C58="","",L58/G58)</f>
        <v/>
      </c>
      <c r="N58" s="15" t="str">
        <f aca="false">IF($C58="","",200/H58)</f>
        <v/>
      </c>
      <c r="O58" s="6" t="str">
        <f aca="false">IF($C58="","",IF(H58&gt;200,0,200-H58))</f>
        <v/>
      </c>
      <c r="P58" s="15" t="str">
        <f aca="false">IF($C58="","",O58/I58)</f>
        <v/>
      </c>
      <c r="Q58" s="6" t="str">
        <f aca="false">IF($C58="","",IF(IF(I58&gt;O58,0,O58-I58)&gt;200,200,IF(I58&gt;O58,0,O58-I58)+200))</f>
        <v/>
      </c>
      <c r="R58" s="15" t="str">
        <f aca="false">IF($C58="","",Q58/IF(H58&lt;200,J58,H58-200+J58))</f>
        <v/>
      </c>
      <c r="S58" s="6" t="str">
        <f aca="false">IF($C58="","",IF(IF(H58&lt;200,J58,H58-200+J58)&gt;Q58,0,Q58-IF(H58&lt;200,J58,H58-200+J58)))</f>
        <v/>
      </c>
      <c r="T58" s="15" t="str">
        <f aca="false">IF($C58="","",S58/(IF(IF(H58&gt;200,I58,I58-(200-H58))&lt;0,0,IF(H58&gt;200,I58,I58-(200-H58)))+(G58-SUM(H58:J58))))</f>
        <v/>
      </c>
      <c r="U58" s="6"/>
      <c r="V58" s="6"/>
    </row>
    <row r="59" customFormat="false" ht="15" hidden="false" customHeight="true" outlineLevel="0" collapsed="false">
      <c r="A59" s="6"/>
      <c r="B59" s="6"/>
      <c r="C59" s="6"/>
      <c r="D59" s="6"/>
      <c r="E59" s="6"/>
      <c r="F59" s="6"/>
      <c r="G59" s="6" t="str">
        <f aca="false">IF($C59="","",C59/$G$1)</f>
        <v/>
      </c>
      <c r="H59" s="6" t="str">
        <f aca="false">IF($C59="","",D59/$G$1)</f>
        <v/>
      </c>
      <c r="I59" s="6" t="str">
        <f aca="false">IF($C59="","",E59/$G$1)</f>
        <v/>
      </c>
      <c r="J59" s="6" t="str">
        <f aca="false">IF($C59="","",F59/$G$1)</f>
        <v/>
      </c>
      <c r="K59" s="6" t="str">
        <f aca="false">IF($C59="","",H59+J59)</f>
        <v/>
      </c>
      <c r="L59" s="6" t="str">
        <f aca="false">IF($C59="","",H59+I59)</f>
        <v/>
      </c>
      <c r="M59" s="14" t="str">
        <f aca="false">IF($C59="","",L59/G59)</f>
        <v/>
      </c>
      <c r="N59" s="15" t="str">
        <f aca="false">IF($C59="","",200/H59)</f>
        <v/>
      </c>
      <c r="O59" s="6" t="str">
        <f aca="false">IF($C59="","",IF(H59&gt;200,0,200-H59))</f>
        <v/>
      </c>
      <c r="P59" s="15" t="str">
        <f aca="false">IF($C59="","",O59/I59)</f>
        <v/>
      </c>
      <c r="Q59" s="6" t="str">
        <f aca="false">IF($C59="","",IF(IF(I59&gt;O59,0,O59-I59)&gt;200,200,IF(I59&gt;O59,0,O59-I59)+200))</f>
        <v/>
      </c>
      <c r="R59" s="15" t="str">
        <f aca="false">IF($C59="","",Q59/IF(H59&lt;200,J59,H59-200+J59))</f>
        <v/>
      </c>
      <c r="S59" s="6" t="str">
        <f aca="false">IF($C59="","",IF(IF(H59&lt;200,J59,H59-200+J59)&gt;Q59,0,Q59-IF(H59&lt;200,J59,H59-200+J59)))</f>
        <v/>
      </c>
      <c r="T59" s="15" t="str">
        <f aca="false">IF($C59="","",S59/(IF(IF(H59&gt;200,I59,I59-(200-H59))&lt;0,0,IF(H59&gt;200,I59,I59-(200-H59)))+(G59-SUM(H59:J59))))</f>
        <v/>
      </c>
      <c r="U59" s="6"/>
      <c r="V59" s="6"/>
    </row>
    <row r="60" customFormat="false" ht="15" hidden="false" customHeight="true" outlineLevel="0" collapsed="false">
      <c r="A60" s="6"/>
      <c r="B60" s="6"/>
      <c r="C60" s="6"/>
      <c r="D60" s="6"/>
      <c r="E60" s="6"/>
      <c r="F60" s="6"/>
      <c r="G60" s="6" t="str">
        <f aca="false">IF($C60="","",C60/$G$1)</f>
        <v/>
      </c>
      <c r="H60" s="6" t="str">
        <f aca="false">IF($C60="","",D60/$G$1)</f>
        <v/>
      </c>
      <c r="I60" s="6" t="str">
        <f aca="false">IF($C60="","",E60/$G$1)</f>
        <v/>
      </c>
      <c r="J60" s="6" t="str">
        <f aca="false">IF($C60="","",F60/$G$1)</f>
        <v/>
      </c>
      <c r="K60" s="6" t="str">
        <f aca="false">IF($C60="","",H60+J60)</f>
        <v/>
      </c>
      <c r="L60" s="6" t="str">
        <f aca="false">IF($C60="","",H60+I60)</f>
        <v/>
      </c>
      <c r="M60" s="14" t="str">
        <f aca="false">IF($C60="","",L60/G60)</f>
        <v/>
      </c>
      <c r="N60" s="15" t="str">
        <f aca="false">IF($C60="","",200/H60)</f>
        <v/>
      </c>
      <c r="O60" s="6" t="str">
        <f aca="false">IF($C60="","",IF(H60&gt;200,0,200-H60))</f>
        <v/>
      </c>
      <c r="P60" s="15" t="str">
        <f aca="false">IF($C60="","",O60/I60)</f>
        <v/>
      </c>
      <c r="Q60" s="6" t="str">
        <f aca="false">IF($C60="","",IF(IF(I60&gt;O60,0,O60-I60)&gt;200,200,IF(I60&gt;O60,0,O60-I60)+200))</f>
        <v/>
      </c>
      <c r="R60" s="15" t="str">
        <f aca="false">IF($C60="","",Q60/IF(H60&lt;200,J60,H60-200+J60))</f>
        <v/>
      </c>
      <c r="S60" s="6" t="str">
        <f aca="false">IF($C60="","",IF(IF(H60&lt;200,J60,H60-200+J60)&gt;Q60,0,Q60-IF(H60&lt;200,J60,H60-200+J60)))</f>
        <v/>
      </c>
      <c r="T60" s="15" t="str">
        <f aca="false">IF($C60="","",S60/(IF(IF(H60&gt;200,I60,I60-(200-H60))&lt;0,0,IF(H60&gt;200,I60,I60-(200-H60)))+(G60-SUM(H60:J60))))</f>
        <v/>
      </c>
      <c r="U60" s="6"/>
      <c r="V60" s="6"/>
    </row>
    <row r="61" customFormat="false" ht="15" hidden="false" customHeight="true" outlineLevel="0" collapsed="false">
      <c r="A61" s="6"/>
      <c r="B61" s="6"/>
      <c r="C61" s="6"/>
      <c r="D61" s="6"/>
      <c r="E61" s="6"/>
      <c r="F61" s="6"/>
      <c r="G61" s="6" t="str">
        <f aca="false">IF($C61="","",C61/$G$1)</f>
        <v/>
      </c>
      <c r="H61" s="6" t="str">
        <f aca="false">IF($C61="","",D61/$G$1)</f>
        <v/>
      </c>
      <c r="I61" s="6" t="str">
        <f aca="false">IF($C61="","",E61/$G$1)</f>
        <v/>
      </c>
      <c r="J61" s="6" t="str">
        <f aca="false">IF($C61="","",F61/$G$1)</f>
        <v/>
      </c>
      <c r="K61" s="6" t="str">
        <f aca="false">IF($C61="","",H61+J61)</f>
        <v/>
      </c>
      <c r="L61" s="6" t="str">
        <f aca="false">IF($C61="","",H61+I61)</f>
        <v/>
      </c>
      <c r="M61" s="14" t="str">
        <f aca="false">IF($C61="","",L61/G61)</f>
        <v/>
      </c>
      <c r="N61" s="15" t="str">
        <f aca="false">IF($C61="","",200/H61)</f>
        <v/>
      </c>
      <c r="O61" s="6" t="str">
        <f aca="false">IF($C61="","",IF(H61&gt;200,0,200-H61))</f>
        <v/>
      </c>
      <c r="P61" s="15" t="str">
        <f aca="false">IF($C61="","",O61/I61)</f>
        <v/>
      </c>
      <c r="Q61" s="6" t="str">
        <f aca="false">IF($C61="","",IF(IF(I61&gt;O61,0,O61-I61)&gt;200,200,IF(I61&gt;O61,0,O61-I61)+200))</f>
        <v/>
      </c>
      <c r="R61" s="15" t="str">
        <f aca="false">IF($C61="","",Q61/IF(H61&lt;200,J61,H61-200+J61))</f>
        <v/>
      </c>
      <c r="S61" s="6" t="str">
        <f aca="false">IF($C61="","",IF(IF(H61&lt;200,J61,H61-200+J61)&gt;Q61,0,Q61-IF(H61&lt;200,J61,H61-200+J61)))</f>
        <v/>
      </c>
      <c r="T61" s="15" t="str">
        <f aca="false">IF($C61="","",S61/(IF(IF(H61&gt;200,I61,I61-(200-H61))&lt;0,0,IF(H61&gt;200,I61,I61-(200-H61)))+(G61-SUM(H61:J61))))</f>
        <v/>
      </c>
      <c r="U61" s="6"/>
      <c r="V61" s="6"/>
    </row>
    <row r="62" customFormat="false" ht="15" hidden="false" customHeight="true" outlineLevel="0" collapsed="false">
      <c r="A62" s="6"/>
      <c r="B62" s="6"/>
      <c r="C62" s="6"/>
      <c r="D62" s="6"/>
      <c r="E62" s="6"/>
      <c r="F62" s="6"/>
      <c r="G62" s="6" t="str">
        <f aca="false">IF($C62="","",C62/$G$1)</f>
        <v/>
      </c>
      <c r="H62" s="6" t="str">
        <f aca="false">IF($C62="","",D62/$G$1)</f>
        <v/>
      </c>
      <c r="I62" s="6" t="str">
        <f aca="false">IF($C62="","",E62/$G$1)</f>
        <v/>
      </c>
      <c r="J62" s="6" t="str">
        <f aca="false">IF($C62="","",F62/$G$1)</f>
        <v/>
      </c>
      <c r="K62" s="6" t="str">
        <f aca="false">IF($C62="","",H62+J62)</f>
        <v/>
      </c>
      <c r="L62" s="6" t="str">
        <f aca="false">IF($C62="","",H62+I62)</f>
        <v/>
      </c>
      <c r="M62" s="14" t="str">
        <f aca="false">IF($C62="","",L62/G62)</f>
        <v/>
      </c>
      <c r="N62" s="15" t="str">
        <f aca="false">IF($C62="","",200/H62)</f>
        <v/>
      </c>
      <c r="O62" s="6" t="str">
        <f aca="false">IF($C62="","",IF(H62&gt;200,0,200-H62))</f>
        <v/>
      </c>
      <c r="P62" s="15" t="str">
        <f aca="false">IF($C62="","",O62/I62)</f>
        <v/>
      </c>
      <c r="Q62" s="6" t="str">
        <f aca="false">IF($C62="","",IF(IF(I62&gt;O62,0,O62-I62)&gt;200,200,IF(I62&gt;O62,0,O62-I62)+200))</f>
        <v/>
      </c>
      <c r="R62" s="15" t="str">
        <f aca="false">IF($C62="","",Q62/IF(H62&lt;200,J62,H62-200+J62))</f>
        <v/>
      </c>
      <c r="S62" s="6" t="str">
        <f aca="false">IF($C62="","",IF(IF(H62&lt;200,J62,H62-200+J62)&gt;Q62,0,Q62-IF(H62&lt;200,J62,H62-200+J62)))</f>
        <v/>
      </c>
      <c r="T62" s="15" t="str">
        <f aca="false">IF($C62="","",S62/(IF(IF(H62&gt;200,I62,I62-(200-H62))&lt;0,0,IF(H62&gt;200,I62,I62-(200-H62)))+(G62-SUM(H62:J62))))</f>
        <v/>
      </c>
      <c r="U62" s="6"/>
      <c r="V6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7.8"/>
    <col collapsed="false" customWidth="true" hidden="false" outlineLevel="0" max="2" min="2" style="1" width="30.1"/>
  </cols>
  <sheetData>
    <row r="1" customFormat="false" ht="15" hidden="false" customHeight="true" outlineLevel="0" collapsed="false">
      <c r="A1" s="7" t="s">
        <v>478</v>
      </c>
      <c r="B1" s="7" t="s">
        <v>2</v>
      </c>
      <c r="C1" s="7" t="s">
        <v>479</v>
      </c>
      <c r="D1" s="7" t="s">
        <v>482</v>
      </c>
      <c r="E1" s="13" t="n">
        <v>0.234</v>
      </c>
      <c r="F1" s="6"/>
      <c r="G1" s="7" t="s">
        <v>490</v>
      </c>
      <c r="H1" s="6"/>
      <c r="I1" s="7" t="s">
        <v>491</v>
      </c>
      <c r="J1" s="7" t="s">
        <v>492</v>
      </c>
      <c r="K1" s="7" t="s">
        <v>489</v>
      </c>
    </row>
    <row r="2" customFormat="false" ht="15" hidden="false" customHeight="true" outlineLevel="0" collapsed="false">
      <c r="A2" s="6"/>
      <c r="B2" s="6"/>
      <c r="C2" s="6"/>
      <c r="D2" s="6"/>
      <c r="E2" s="6" t="str">
        <f aca="false">IF($C2="","",C2/$E$1)</f>
        <v/>
      </c>
      <c r="F2" s="6" t="str">
        <f aca="false">IF($C2="","",D2/$E$1)</f>
        <v/>
      </c>
      <c r="G2" s="15" t="str">
        <f aca="false">IF($C2="","",400/F2)</f>
        <v/>
      </c>
      <c r="H2" s="6" t="str">
        <f aca="false">IF($C2="","",IF(F2&gt;400,0,400-F2))</f>
        <v/>
      </c>
      <c r="I2" s="15" t="str">
        <f aca="false">IF($C2="","",H2/(E2-F2))</f>
        <v/>
      </c>
      <c r="J2" s="6"/>
      <c r="K2" s="6"/>
    </row>
    <row r="3" customFormat="false" ht="15" hidden="false" customHeight="true" outlineLevel="0" collapsed="false">
      <c r="A3" s="6"/>
      <c r="B3" s="6"/>
      <c r="C3" s="6"/>
      <c r="D3" s="6"/>
      <c r="E3" s="6" t="str">
        <f aca="false">IF($C3="","",C3/$E$1)</f>
        <v/>
      </c>
      <c r="F3" s="6" t="str">
        <f aca="false">IF($C3="","",D3/$E$1)</f>
        <v/>
      </c>
      <c r="G3" s="15" t="str">
        <f aca="false">IF($C3="","",400/F3)</f>
        <v/>
      </c>
      <c r="H3" s="6" t="str">
        <f aca="false">IF($C3="","",IF(F3&gt;400,0,400-F3))</f>
        <v/>
      </c>
      <c r="I3" s="15" t="str">
        <f aca="false">IF($C3="","",H3/(E3-F3))</f>
        <v/>
      </c>
      <c r="J3" s="6"/>
      <c r="K3" s="6"/>
    </row>
    <row r="4" customFormat="false" ht="15" hidden="false" customHeight="true" outlineLevel="0" collapsed="false">
      <c r="A4" s="6"/>
      <c r="B4" s="6"/>
      <c r="C4" s="6"/>
      <c r="D4" s="6"/>
      <c r="E4" s="6" t="str">
        <f aca="false">IF($C4="","",C4/$E$1)</f>
        <v/>
      </c>
      <c r="F4" s="6" t="str">
        <f aca="false">IF($C4="","",D4/$E$1)</f>
        <v/>
      </c>
      <c r="G4" s="15" t="str">
        <f aca="false">IF($C4="","",400/F4)</f>
        <v/>
      </c>
      <c r="H4" s="6" t="str">
        <f aca="false">IF($C4="","",IF(F4&gt;400,0,400-F4))</f>
        <v/>
      </c>
      <c r="I4" s="15" t="str">
        <f aca="false">IF($C4="","",H4/(E4-F4))</f>
        <v/>
      </c>
      <c r="J4" s="6"/>
      <c r="K4" s="6"/>
    </row>
    <row r="5" customFormat="false" ht="15" hidden="false" customHeight="true" outlineLevel="0" collapsed="false">
      <c r="A5" s="6"/>
      <c r="B5" s="6"/>
      <c r="C5" s="6"/>
      <c r="D5" s="6"/>
      <c r="E5" s="6" t="str">
        <f aca="false">IF($C5="","",C5/$E$1)</f>
        <v/>
      </c>
      <c r="F5" s="6" t="str">
        <f aca="false">IF($C5="","",D5/$E$1)</f>
        <v/>
      </c>
      <c r="G5" s="15" t="str">
        <f aca="false">IF($C5="","",400/F5)</f>
        <v/>
      </c>
      <c r="H5" s="6" t="str">
        <f aca="false">IF($C5="","",IF(F5&gt;400,0,400-F5))</f>
        <v/>
      </c>
      <c r="I5" s="15" t="str">
        <f aca="false">IF($C5="","",H5/(E5-F5))</f>
        <v/>
      </c>
      <c r="J5" s="6"/>
      <c r="K5" s="6"/>
    </row>
    <row r="6" customFormat="false" ht="15" hidden="false" customHeight="true" outlineLevel="0" collapsed="false">
      <c r="A6" s="6"/>
      <c r="B6" s="6"/>
      <c r="C6" s="6"/>
      <c r="D6" s="6"/>
      <c r="E6" s="6" t="str">
        <f aca="false">IF($C6="","",C6/$E$1)</f>
        <v/>
      </c>
      <c r="F6" s="6" t="str">
        <f aca="false">IF($C6="","",D6/$E$1)</f>
        <v/>
      </c>
      <c r="G6" s="15" t="str">
        <f aca="false">IF($C6="","",400/F6)</f>
        <v/>
      </c>
      <c r="H6" s="6" t="str">
        <f aca="false">IF($C6="","",IF(F6&gt;400,0,400-F6))</f>
        <v/>
      </c>
      <c r="I6" s="15" t="str">
        <f aca="false">IF($C6="","",H6/(E6-F6))</f>
        <v/>
      </c>
      <c r="J6" s="6"/>
      <c r="K6" s="6"/>
    </row>
    <row r="7" customFormat="false" ht="15" hidden="false" customHeight="true" outlineLevel="0" collapsed="false">
      <c r="A7" s="6"/>
      <c r="B7" s="6"/>
      <c r="C7" s="6"/>
      <c r="D7" s="6"/>
      <c r="E7" s="6" t="str">
        <f aca="false">IF($C7="","",C7/$E$1)</f>
        <v/>
      </c>
      <c r="F7" s="6" t="str">
        <f aca="false">IF($C7="","",D7/$E$1)</f>
        <v/>
      </c>
      <c r="G7" s="15" t="str">
        <f aca="false">IF($C7="","",400/F7)</f>
        <v/>
      </c>
      <c r="H7" s="6" t="str">
        <f aca="false">IF($C7="","",IF(F7&gt;400,0,400-F7))</f>
        <v/>
      </c>
      <c r="I7" s="15" t="str">
        <f aca="false">IF($C7="","",H7/(E7-F7))</f>
        <v/>
      </c>
      <c r="J7" s="6"/>
      <c r="K7" s="6"/>
    </row>
    <row r="8" customFormat="false" ht="15" hidden="false" customHeight="true" outlineLevel="0" collapsed="false">
      <c r="A8" s="6"/>
      <c r="B8" s="6"/>
      <c r="C8" s="6"/>
      <c r="D8" s="6"/>
      <c r="E8" s="6" t="str">
        <f aca="false">IF($C8="","",C8/$E$1)</f>
        <v/>
      </c>
      <c r="F8" s="6" t="str">
        <f aca="false">IF($C8="","",D8/$E$1)</f>
        <v/>
      </c>
      <c r="G8" s="15" t="str">
        <f aca="false">IF($C8="","",400/F8)</f>
        <v/>
      </c>
      <c r="H8" s="6" t="str">
        <f aca="false">IF($C8="","",IF(F8&gt;400,0,400-F8))</f>
        <v/>
      </c>
      <c r="I8" s="15" t="str">
        <f aca="false">IF($C8="","",H8/(E8-F8))</f>
        <v/>
      </c>
      <c r="J8" s="6"/>
      <c r="K8" s="6"/>
    </row>
    <row r="9" customFormat="false" ht="15" hidden="false" customHeight="true" outlineLevel="0" collapsed="false">
      <c r="A9" s="6"/>
      <c r="B9" s="6"/>
      <c r="C9" s="6"/>
      <c r="D9" s="6"/>
      <c r="E9" s="6" t="str">
        <f aca="false">IF($C9="","",C9/$E$1)</f>
        <v/>
      </c>
      <c r="F9" s="6" t="str">
        <f aca="false">IF($C9="","",D9/$E$1)</f>
        <v/>
      </c>
      <c r="G9" s="15" t="str">
        <f aca="false">IF($C9="","",400/F9)</f>
        <v/>
      </c>
      <c r="H9" s="6" t="str">
        <f aca="false">IF($C9="","",IF(F9&gt;400,0,400-F9))</f>
        <v/>
      </c>
      <c r="I9" s="15" t="str">
        <f aca="false">IF($C9="","",H9/(E9-F9))</f>
        <v/>
      </c>
      <c r="J9" s="6"/>
      <c r="K9" s="6"/>
    </row>
    <row r="10" customFormat="false" ht="15" hidden="false" customHeight="true" outlineLevel="0" collapsed="false">
      <c r="A10" s="6"/>
      <c r="B10" s="6"/>
      <c r="C10" s="6"/>
      <c r="D10" s="6"/>
      <c r="E10" s="6" t="str">
        <f aca="false">IF($C10="","",C10/$E$1)</f>
        <v/>
      </c>
      <c r="F10" s="6" t="str">
        <f aca="false">IF($C10="","",D10/$E$1)</f>
        <v/>
      </c>
      <c r="G10" s="15" t="str">
        <f aca="false">IF($C10="","",400/F10)</f>
        <v/>
      </c>
      <c r="H10" s="6" t="str">
        <f aca="false">IF($C10="","",IF(F10&gt;400,0,400-F10))</f>
        <v/>
      </c>
      <c r="I10" s="15" t="str">
        <f aca="false">IF($C10="","",H10/(E10-F10))</f>
        <v/>
      </c>
      <c r="J10" s="6"/>
      <c r="K10" s="6"/>
    </row>
    <row r="11" customFormat="false" ht="15" hidden="false" customHeight="true" outlineLevel="0" collapsed="false">
      <c r="A11" s="6"/>
      <c r="B11" s="6"/>
      <c r="C11" s="6"/>
      <c r="D11" s="6"/>
      <c r="E11" s="6" t="str">
        <f aca="false">IF($C11="","",C11/$E$1)</f>
        <v/>
      </c>
      <c r="F11" s="6" t="str">
        <f aca="false">IF($C11="","",D11/$E$1)</f>
        <v/>
      </c>
      <c r="G11" s="15" t="str">
        <f aca="false">IF($C11="","",400/F11)</f>
        <v/>
      </c>
      <c r="H11" s="6" t="str">
        <f aca="false">IF($C11="","",IF(F11&gt;400,0,400-F11))</f>
        <v/>
      </c>
      <c r="I11" s="15" t="str">
        <f aca="false">IF($C11="","",H11/(E11-F11))</f>
        <v/>
      </c>
      <c r="J11" s="6"/>
      <c r="K11" s="6"/>
    </row>
    <row r="12" customFormat="false" ht="15" hidden="false" customHeight="true" outlineLevel="0" collapsed="false">
      <c r="A12" s="6"/>
      <c r="B12" s="6"/>
      <c r="C12" s="6"/>
      <c r="D12" s="6"/>
      <c r="E12" s="6" t="str">
        <f aca="false">IF($C12="","",C12/$E$1)</f>
        <v/>
      </c>
      <c r="F12" s="6" t="str">
        <f aca="false">IF($C12="","",D12/$E$1)</f>
        <v/>
      </c>
      <c r="G12" s="15" t="str">
        <f aca="false">IF($C12="","",400/F12)</f>
        <v/>
      </c>
      <c r="H12" s="6" t="str">
        <f aca="false">IF($C12="","",IF(F12&gt;400,0,400-F12))</f>
        <v/>
      </c>
      <c r="I12" s="15" t="str">
        <f aca="false">IF($C12="","",H12/(E12-F12))</f>
        <v/>
      </c>
      <c r="J12" s="6"/>
      <c r="K12" s="6"/>
    </row>
    <row r="13" customFormat="false" ht="15" hidden="false" customHeight="true" outlineLevel="0" collapsed="false">
      <c r="A13" s="6"/>
      <c r="B13" s="6"/>
      <c r="C13" s="6"/>
      <c r="D13" s="6"/>
      <c r="E13" s="6" t="str">
        <f aca="false">IF($C13="","",C13/$E$1)</f>
        <v/>
      </c>
      <c r="F13" s="6" t="str">
        <f aca="false">IF($C13="","",D13/$E$1)</f>
        <v/>
      </c>
      <c r="G13" s="15" t="str">
        <f aca="false">IF($C13="","",400/F13)</f>
        <v/>
      </c>
      <c r="H13" s="6" t="str">
        <f aca="false">IF($C13="","",IF(F13&gt;400,0,400-F13))</f>
        <v/>
      </c>
      <c r="I13" s="15" t="str">
        <f aca="false">IF($C13="","",H13/(E13-F13))</f>
        <v/>
      </c>
      <c r="J13" s="6"/>
      <c r="K13" s="6"/>
    </row>
    <row r="14" customFormat="false" ht="15" hidden="false" customHeight="true" outlineLevel="0" collapsed="false">
      <c r="A14" s="6"/>
      <c r="B14" s="6"/>
      <c r="C14" s="6"/>
      <c r="D14" s="6"/>
      <c r="E14" s="6" t="str">
        <f aca="false">IF($C14="","",C14/$E$1)</f>
        <v/>
      </c>
      <c r="F14" s="6" t="str">
        <f aca="false">IF($C14="","",D14/$E$1)</f>
        <v/>
      </c>
      <c r="G14" s="15" t="str">
        <f aca="false">IF($C14="","",400/F14)</f>
        <v/>
      </c>
      <c r="H14" s="6" t="str">
        <f aca="false">IF($C14="","",IF(F14&gt;400,0,400-F14))</f>
        <v/>
      </c>
      <c r="I14" s="15" t="str">
        <f aca="false">IF($C14="","",H14/(E14-F14))</f>
        <v/>
      </c>
      <c r="J14" s="6"/>
      <c r="K14" s="6"/>
    </row>
    <row r="15" customFormat="false" ht="15" hidden="false" customHeight="true" outlineLevel="0" collapsed="false">
      <c r="A15" s="6"/>
      <c r="B15" s="6"/>
      <c r="C15" s="6"/>
      <c r="D15" s="6"/>
      <c r="E15" s="6" t="str">
        <f aca="false">IF($C15="","",C15/$E$1)</f>
        <v/>
      </c>
      <c r="F15" s="6" t="str">
        <f aca="false">IF($C15="","",D15/$E$1)</f>
        <v/>
      </c>
      <c r="G15" s="15" t="str">
        <f aca="false">IF($C15="","",400/F15)</f>
        <v/>
      </c>
      <c r="H15" s="6" t="str">
        <f aca="false">IF($C15="","",IF(F15&gt;400,0,400-F15))</f>
        <v/>
      </c>
      <c r="I15" s="15" t="str">
        <f aca="false">IF($C15="","",H15/(E15-F15))</f>
        <v/>
      </c>
      <c r="J15" s="6"/>
      <c r="K15" s="6"/>
    </row>
    <row r="16" customFormat="false" ht="15" hidden="false" customHeight="true" outlineLevel="0" collapsed="false">
      <c r="A16" s="6"/>
      <c r="B16" s="6"/>
      <c r="C16" s="6"/>
      <c r="D16" s="6"/>
      <c r="E16" s="6" t="str">
        <f aca="false">IF($C16="","",C16/$E$1)</f>
        <v/>
      </c>
      <c r="F16" s="6" t="str">
        <f aca="false">IF($C16="","",D16/$E$1)</f>
        <v/>
      </c>
      <c r="G16" s="15" t="str">
        <f aca="false">IF($C16="","",400/F16)</f>
        <v/>
      </c>
      <c r="H16" s="6" t="str">
        <f aca="false">IF($C16="","",IF(F16&gt;400,0,400-F16))</f>
        <v/>
      </c>
      <c r="I16" s="15" t="str">
        <f aca="false">IF($C16="","",H16/(E16-F16))</f>
        <v/>
      </c>
      <c r="J16" s="6"/>
      <c r="K16" s="6"/>
    </row>
    <row r="17" customFormat="false" ht="15" hidden="false" customHeight="true" outlineLevel="0" collapsed="false">
      <c r="A17" s="6"/>
      <c r="B17" s="6"/>
      <c r="C17" s="6"/>
      <c r="D17" s="6"/>
      <c r="E17" s="6" t="str">
        <f aca="false">IF($C17="","",C17/$E$1)</f>
        <v/>
      </c>
      <c r="F17" s="6" t="str">
        <f aca="false">IF($C17="","",D17/$E$1)</f>
        <v/>
      </c>
      <c r="G17" s="15" t="str">
        <f aca="false">IF($C17="","",400/F17)</f>
        <v/>
      </c>
      <c r="H17" s="6" t="str">
        <f aca="false">IF($C17="","",IF(F17&gt;400,0,400-F17))</f>
        <v/>
      </c>
      <c r="I17" s="15" t="str">
        <f aca="false">IF($C17="","",H17/(E17-F17))</f>
        <v/>
      </c>
      <c r="J17" s="6"/>
      <c r="K17" s="6"/>
    </row>
    <row r="18" customFormat="false" ht="15" hidden="false" customHeight="true" outlineLevel="0" collapsed="false">
      <c r="A18" s="6"/>
      <c r="B18" s="6"/>
      <c r="C18" s="6"/>
      <c r="D18" s="6"/>
      <c r="E18" s="6" t="str">
        <f aca="false">IF($C18="","",C18/$E$1)</f>
        <v/>
      </c>
      <c r="F18" s="6" t="str">
        <f aca="false">IF($C18="","",D18/$E$1)</f>
        <v/>
      </c>
      <c r="G18" s="15" t="str">
        <f aca="false">IF($C18="","",400/F18)</f>
        <v/>
      </c>
      <c r="H18" s="6" t="str">
        <f aca="false">IF($C18="","",IF(F18&gt;400,0,400-F18))</f>
        <v/>
      </c>
      <c r="I18" s="15" t="str">
        <f aca="false">IF($C18="","",H18/(E18-F18))</f>
        <v/>
      </c>
      <c r="J18" s="6"/>
      <c r="K18" s="6"/>
    </row>
    <row r="19" customFormat="false" ht="15" hidden="false" customHeight="true" outlineLevel="0" collapsed="false">
      <c r="A19" s="6"/>
      <c r="B19" s="6"/>
      <c r="C19" s="6"/>
      <c r="D19" s="6"/>
      <c r="E19" s="6" t="str">
        <f aca="false">IF($C19="","",C19/$E$1)</f>
        <v/>
      </c>
      <c r="F19" s="6" t="str">
        <f aca="false">IF($C19="","",D19/$E$1)</f>
        <v/>
      </c>
      <c r="G19" s="15" t="str">
        <f aca="false">IF($C19="","",400/F19)</f>
        <v/>
      </c>
      <c r="H19" s="6" t="str">
        <f aca="false">IF($C19="","",IF(F19&gt;400,0,400-F19))</f>
        <v/>
      </c>
      <c r="I19" s="15" t="str">
        <f aca="false">IF($C19="","",H19/(E19-F19))</f>
        <v/>
      </c>
      <c r="J19" s="6"/>
      <c r="K19" s="6"/>
    </row>
    <row r="20" customFormat="false" ht="15" hidden="false" customHeight="true" outlineLevel="0" collapsed="false">
      <c r="A20" s="6"/>
      <c r="B20" s="6"/>
      <c r="C20" s="6"/>
      <c r="D20" s="6"/>
      <c r="E20" s="6" t="str">
        <f aca="false">IF($C20="","",C20/$E$1)</f>
        <v/>
      </c>
      <c r="F20" s="6" t="str">
        <f aca="false">IF($C20="","",D20/$E$1)</f>
        <v/>
      </c>
      <c r="G20" s="15" t="str">
        <f aca="false">IF($C20="","",400/F20)</f>
        <v/>
      </c>
      <c r="H20" s="6" t="str">
        <f aca="false">IF($C20="","",IF(F20&gt;400,0,400-F20))</f>
        <v/>
      </c>
      <c r="I20" s="15" t="str">
        <f aca="false">IF($C20="","",H20/(E20-F20))</f>
        <v/>
      </c>
      <c r="J20" s="6"/>
      <c r="K20" s="6"/>
    </row>
    <row r="21" customFormat="false" ht="15" hidden="false" customHeight="true" outlineLevel="0" collapsed="false">
      <c r="A21" s="6"/>
      <c r="B21" s="6"/>
      <c r="C21" s="6"/>
      <c r="D21" s="6"/>
      <c r="E21" s="6" t="str">
        <f aca="false">IF($C21="","",C21/$E$1)</f>
        <v/>
      </c>
      <c r="F21" s="6" t="str">
        <f aca="false">IF($C21="","",D21/$E$1)</f>
        <v/>
      </c>
      <c r="G21" s="15" t="str">
        <f aca="false">IF($C21="","",400/F21)</f>
        <v/>
      </c>
      <c r="H21" s="6" t="str">
        <f aca="false">IF($C21="","",IF(F21&gt;400,0,400-F21))</f>
        <v/>
      </c>
      <c r="I21" s="15" t="str">
        <f aca="false">IF($C21="","",H21/(E21-F21))</f>
        <v/>
      </c>
      <c r="J21" s="6"/>
      <c r="K21" s="6"/>
    </row>
    <row r="22" customFormat="false" ht="15" hidden="false" customHeight="true" outlineLevel="0" collapsed="false">
      <c r="A22" s="6"/>
      <c r="B22" s="6"/>
      <c r="C22" s="6"/>
      <c r="D22" s="6"/>
      <c r="E22" s="6" t="str">
        <f aca="false">IF($C22="","",C22/$E$1)</f>
        <v/>
      </c>
      <c r="F22" s="6" t="str">
        <f aca="false">IF($C22="","",D22/$E$1)</f>
        <v/>
      </c>
      <c r="G22" s="15" t="str">
        <f aca="false">IF($C22="","",400/F22)</f>
        <v/>
      </c>
      <c r="H22" s="6" t="str">
        <f aca="false">IF($C22="","",IF(F22&gt;400,0,400-F22))</f>
        <v/>
      </c>
      <c r="I22" s="15" t="str">
        <f aca="false">IF($C22="","",H22/(E22-F22))</f>
        <v/>
      </c>
      <c r="J22" s="6"/>
      <c r="K22" s="6"/>
    </row>
    <row r="23" customFormat="false" ht="15" hidden="false" customHeight="true" outlineLevel="0" collapsed="false">
      <c r="A23" s="6"/>
      <c r="B23" s="6"/>
      <c r="C23" s="6"/>
      <c r="D23" s="6"/>
      <c r="E23" s="6" t="str">
        <f aca="false">IF($C23="","",C23/$E$1)</f>
        <v/>
      </c>
      <c r="F23" s="6" t="str">
        <f aca="false">IF($C23="","",D23/$E$1)</f>
        <v/>
      </c>
      <c r="G23" s="15" t="str">
        <f aca="false">IF($C23="","",400/F23)</f>
        <v/>
      </c>
      <c r="H23" s="6" t="str">
        <f aca="false">IF($C23="","",IF(F23&gt;400,0,400-F23))</f>
        <v/>
      </c>
      <c r="I23" s="15" t="str">
        <f aca="false">IF($C23="","",H23/(E23-F23))</f>
        <v/>
      </c>
      <c r="J23" s="6"/>
      <c r="K23" s="6"/>
    </row>
    <row r="24" customFormat="false" ht="15" hidden="false" customHeight="true" outlineLevel="0" collapsed="false">
      <c r="A24" s="6"/>
      <c r="B24" s="6"/>
      <c r="C24" s="6"/>
      <c r="D24" s="6"/>
      <c r="E24" s="6" t="str">
        <f aca="false">IF($C24="","",C24/$E$1)</f>
        <v/>
      </c>
      <c r="F24" s="6" t="str">
        <f aca="false">IF($C24="","",D24/$E$1)</f>
        <v/>
      </c>
      <c r="G24" s="15" t="str">
        <f aca="false">IF($C24="","",400/F24)</f>
        <v/>
      </c>
      <c r="H24" s="6" t="str">
        <f aca="false">IF($C24="","",IF(F24&gt;400,0,400-F24))</f>
        <v/>
      </c>
      <c r="I24" s="15" t="str">
        <f aca="false">IF($C24="","",H24/(E24-F24))</f>
        <v/>
      </c>
      <c r="J24" s="6"/>
      <c r="K24" s="6"/>
    </row>
    <row r="25" customFormat="false" ht="15" hidden="false" customHeight="true" outlineLevel="0" collapsed="false">
      <c r="A25" s="6"/>
      <c r="B25" s="6"/>
      <c r="C25" s="6"/>
      <c r="D25" s="6"/>
      <c r="E25" s="6" t="str">
        <f aca="false">IF($C25="","",C25/$E$1)</f>
        <v/>
      </c>
      <c r="F25" s="6" t="str">
        <f aca="false">IF($C25="","",D25/$E$1)</f>
        <v/>
      </c>
      <c r="G25" s="15" t="str">
        <f aca="false">IF($C25="","",400/F25)</f>
        <v/>
      </c>
      <c r="H25" s="6" t="str">
        <f aca="false">IF($C25="","",IF(F25&gt;400,0,400-F25))</f>
        <v/>
      </c>
      <c r="I25" s="15" t="str">
        <f aca="false">IF($C25="","",H25/(E25-F25))</f>
        <v/>
      </c>
      <c r="J25" s="6"/>
      <c r="K25" s="6"/>
    </row>
    <row r="26" customFormat="false" ht="15" hidden="false" customHeight="true" outlineLevel="0" collapsed="false">
      <c r="A26" s="6"/>
      <c r="B26" s="6"/>
      <c r="C26" s="6"/>
      <c r="D26" s="6"/>
      <c r="E26" s="6" t="str">
        <f aca="false">IF($C26="","",C26/$E$1)</f>
        <v/>
      </c>
      <c r="F26" s="6" t="str">
        <f aca="false">IF($C26="","",D26/$E$1)</f>
        <v/>
      </c>
      <c r="G26" s="15" t="str">
        <f aca="false">IF($C26="","",400/F26)</f>
        <v/>
      </c>
      <c r="H26" s="6" t="str">
        <f aca="false">IF($C26="","",IF(F26&gt;400,0,400-F26))</f>
        <v/>
      </c>
      <c r="I26" s="15" t="str">
        <f aca="false">IF($C26="","",H26/(E26-F26))</f>
        <v/>
      </c>
      <c r="J26" s="6"/>
      <c r="K26" s="6"/>
    </row>
    <row r="27" customFormat="false" ht="15" hidden="false" customHeight="true" outlineLevel="0" collapsed="false">
      <c r="A27" s="6"/>
      <c r="B27" s="6"/>
      <c r="C27" s="6"/>
      <c r="D27" s="6"/>
      <c r="E27" s="6" t="str">
        <f aca="false">IF($C27="","",C27/$E$1)</f>
        <v/>
      </c>
      <c r="F27" s="6" t="str">
        <f aca="false">IF($C27="","",D27/$E$1)</f>
        <v/>
      </c>
      <c r="G27" s="15" t="str">
        <f aca="false">IF($C27="","",400/F27)</f>
        <v/>
      </c>
      <c r="H27" s="6" t="str">
        <f aca="false">IF($C27="","",IF(F27&gt;400,0,400-F27))</f>
        <v/>
      </c>
      <c r="I27" s="15" t="str">
        <f aca="false">IF($C27="","",H27/(E27-F27))</f>
        <v/>
      </c>
      <c r="J27" s="6"/>
      <c r="K27" s="6"/>
    </row>
    <row r="28" customFormat="false" ht="15" hidden="false" customHeight="true" outlineLevel="0" collapsed="false">
      <c r="A28" s="6"/>
      <c r="B28" s="6"/>
      <c r="C28" s="6"/>
      <c r="D28" s="6"/>
      <c r="E28" s="6" t="str">
        <f aca="false">IF($C28="","",C28/$E$1)</f>
        <v/>
      </c>
      <c r="F28" s="6" t="str">
        <f aca="false">IF($C28="","",D28/$E$1)</f>
        <v/>
      </c>
      <c r="G28" s="15" t="str">
        <f aca="false">IF($C28="","",400/F28)</f>
        <v/>
      </c>
      <c r="H28" s="6" t="str">
        <f aca="false">IF($C28="","",IF(F28&gt;400,0,400-F28))</f>
        <v/>
      </c>
      <c r="I28" s="15" t="str">
        <f aca="false">IF($C28="","",H28/(E28-F28))</f>
        <v/>
      </c>
      <c r="J28" s="6"/>
      <c r="K28" s="6"/>
    </row>
    <row r="29" customFormat="false" ht="15" hidden="false" customHeight="true" outlineLevel="0" collapsed="false">
      <c r="A29" s="6"/>
      <c r="B29" s="6"/>
      <c r="C29" s="6"/>
      <c r="D29" s="6"/>
      <c r="E29" s="6" t="str">
        <f aca="false">IF($C29="","",C29/$E$1)</f>
        <v/>
      </c>
      <c r="F29" s="6" t="str">
        <f aca="false">IF($C29="","",D29/$E$1)</f>
        <v/>
      </c>
      <c r="G29" s="15" t="str">
        <f aca="false">IF($C29="","",400/F29)</f>
        <v/>
      </c>
      <c r="H29" s="6" t="str">
        <f aca="false">IF($C29="","",IF(F29&gt;400,0,400-F29))</f>
        <v/>
      </c>
      <c r="I29" s="15" t="str">
        <f aca="false">IF($C29="","",H29/(E29-F29))</f>
        <v/>
      </c>
      <c r="J29" s="6"/>
      <c r="K29" s="6"/>
    </row>
    <row r="30" customFormat="false" ht="15" hidden="false" customHeight="true" outlineLevel="0" collapsed="false">
      <c r="A30" s="6"/>
      <c r="B30" s="6"/>
      <c r="C30" s="6"/>
      <c r="D30" s="6"/>
      <c r="E30" s="6" t="str">
        <f aca="false">IF($C30="","",C30/$E$1)</f>
        <v/>
      </c>
      <c r="F30" s="6" t="str">
        <f aca="false">IF($C30="","",D30/$E$1)</f>
        <v/>
      </c>
      <c r="G30" s="15" t="str">
        <f aca="false">IF($C30="","",400/F30)</f>
        <v/>
      </c>
      <c r="H30" s="6" t="str">
        <f aca="false">IF($C30="","",IF(F30&gt;400,0,400-F30))</f>
        <v/>
      </c>
      <c r="I30" s="15" t="str">
        <f aca="false">IF($C30="","",H30/(E30-F30))</f>
        <v/>
      </c>
      <c r="J30" s="6"/>
      <c r="K30" s="6"/>
    </row>
    <row r="31" customFormat="false" ht="15" hidden="false" customHeight="true" outlineLevel="0" collapsed="false">
      <c r="A31" s="6"/>
      <c r="B31" s="6"/>
      <c r="C31" s="6"/>
      <c r="D31" s="6"/>
      <c r="E31" s="6" t="str">
        <f aca="false">IF($C31="","",C31/$E$1)</f>
        <v/>
      </c>
      <c r="F31" s="6" t="str">
        <f aca="false">IF($C31="","",D31/$E$1)</f>
        <v/>
      </c>
      <c r="G31" s="15" t="str">
        <f aca="false">IF($C31="","",400/F31)</f>
        <v/>
      </c>
      <c r="H31" s="6" t="str">
        <f aca="false">IF($C31="","",IF(F31&gt;400,0,400-F31))</f>
        <v/>
      </c>
      <c r="I31" s="15" t="str">
        <f aca="false">IF($C31="","",H31/(E31-F31))</f>
        <v/>
      </c>
      <c r="J31" s="6"/>
      <c r="K31" s="6"/>
    </row>
    <row r="32" customFormat="false" ht="15" hidden="false" customHeight="true" outlineLevel="0" collapsed="false">
      <c r="A32" s="6"/>
      <c r="B32" s="6"/>
      <c r="C32" s="6"/>
      <c r="D32" s="6"/>
      <c r="E32" s="6" t="str">
        <f aca="false">IF($C32="","",C32/$E$1)</f>
        <v/>
      </c>
      <c r="F32" s="6" t="str">
        <f aca="false">IF($C32="","",D32/$E$1)</f>
        <v/>
      </c>
      <c r="G32" s="15" t="str">
        <f aca="false">IF($C32="","",400/F32)</f>
        <v/>
      </c>
      <c r="H32" s="6" t="str">
        <f aca="false">IF($C32="","",IF(F32&gt;400,0,400-F32))</f>
        <v/>
      </c>
      <c r="I32" s="15" t="str">
        <f aca="false">IF($C32="","",H32/(E32-F32))</f>
        <v/>
      </c>
      <c r="J32" s="6"/>
      <c r="K32" s="6"/>
    </row>
    <row r="33" customFormat="false" ht="15" hidden="false" customHeight="true" outlineLevel="0" collapsed="false">
      <c r="A33" s="6"/>
      <c r="B33" s="6"/>
      <c r="C33" s="6"/>
      <c r="D33" s="6"/>
      <c r="E33" s="6" t="str">
        <f aca="false">IF($C33="","",C33/$E$1)</f>
        <v/>
      </c>
      <c r="F33" s="6" t="str">
        <f aca="false">IF($C33="","",D33/$E$1)</f>
        <v/>
      </c>
      <c r="G33" s="15" t="str">
        <f aca="false">IF($C33="","",400/F33)</f>
        <v/>
      </c>
      <c r="H33" s="6" t="str">
        <f aca="false">IF($C33="","",IF(F33&gt;400,0,400-F33))</f>
        <v/>
      </c>
      <c r="I33" s="15" t="str">
        <f aca="false">IF($C33="","",H33/(E33-F33))</f>
        <v/>
      </c>
      <c r="J33" s="6"/>
      <c r="K33" s="6"/>
    </row>
    <row r="34" customFormat="false" ht="15" hidden="false" customHeight="true" outlineLevel="0" collapsed="false">
      <c r="A34" s="6"/>
      <c r="B34" s="6"/>
      <c r="C34" s="6"/>
      <c r="D34" s="6"/>
      <c r="E34" s="6" t="str">
        <f aca="false">IF($C34="","",C34/$E$1)</f>
        <v/>
      </c>
      <c r="F34" s="6" t="str">
        <f aca="false">IF($C34="","",D34/$E$1)</f>
        <v/>
      </c>
      <c r="G34" s="15" t="str">
        <f aca="false">IF($C34="","",400/F34)</f>
        <v/>
      </c>
      <c r="H34" s="6" t="str">
        <f aca="false">IF($C34="","",IF(F34&gt;400,0,400-F34))</f>
        <v/>
      </c>
      <c r="I34" s="15" t="str">
        <f aca="false">IF($C34="","",H34/(E34-F34))</f>
        <v/>
      </c>
      <c r="J34" s="6"/>
      <c r="K34" s="6"/>
    </row>
    <row r="35" customFormat="false" ht="15" hidden="false" customHeight="true" outlineLevel="0" collapsed="false">
      <c r="A35" s="6"/>
      <c r="B35" s="6"/>
      <c r="C35" s="6"/>
      <c r="D35" s="6"/>
      <c r="E35" s="6" t="str">
        <f aca="false">IF($C35="","",C35/$E$1)</f>
        <v/>
      </c>
      <c r="F35" s="6" t="str">
        <f aca="false">IF($C35="","",D35/$E$1)</f>
        <v/>
      </c>
      <c r="G35" s="15" t="str">
        <f aca="false">IF($C35="","",400/F35)</f>
        <v/>
      </c>
      <c r="H35" s="6" t="str">
        <f aca="false">IF($C35="","",IF(F35&gt;400,0,400-F35))</f>
        <v/>
      </c>
      <c r="I35" s="15" t="str">
        <f aca="false">IF($C35="","",H35/(E35-F35))</f>
        <v/>
      </c>
      <c r="J35" s="6"/>
      <c r="K35" s="6"/>
    </row>
    <row r="36" customFormat="false" ht="15" hidden="false" customHeight="true" outlineLevel="0" collapsed="false">
      <c r="A36" s="6"/>
      <c r="B36" s="6"/>
      <c r="C36" s="6"/>
      <c r="D36" s="6"/>
      <c r="E36" s="6" t="str">
        <f aca="false">IF($C36="","",C36/$E$1)</f>
        <v/>
      </c>
      <c r="F36" s="6" t="str">
        <f aca="false">IF($C36="","",D36/$E$1)</f>
        <v/>
      </c>
      <c r="G36" s="15" t="str">
        <f aca="false">IF($C36="","",400/F36)</f>
        <v/>
      </c>
      <c r="H36" s="6" t="str">
        <f aca="false">IF($C36="","",IF(F36&gt;400,0,400-F36))</f>
        <v/>
      </c>
      <c r="I36" s="15" t="str">
        <f aca="false">IF($C36="","",H36/(E36-F36))</f>
        <v/>
      </c>
      <c r="J36" s="6"/>
      <c r="K36" s="6"/>
    </row>
    <row r="37" customFormat="false" ht="15" hidden="false" customHeight="true" outlineLevel="0" collapsed="false">
      <c r="A37" s="6"/>
      <c r="B37" s="6"/>
      <c r="C37" s="6"/>
      <c r="D37" s="6"/>
      <c r="E37" s="6" t="str">
        <f aca="false">IF($C37="","",C37/$E$1)</f>
        <v/>
      </c>
      <c r="F37" s="6" t="str">
        <f aca="false">IF($C37="","",D37/$E$1)</f>
        <v/>
      </c>
      <c r="G37" s="15" t="str">
        <f aca="false">IF($C37="","",400/F37)</f>
        <v/>
      </c>
      <c r="H37" s="6" t="str">
        <f aca="false">IF($C37="","",IF(F37&gt;400,0,400-F37))</f>
        <v/>
      </c>
      <c r="I37" s="15" t="str">
        <f aca="false">IF($C37="","",H37/(E37-F37))</f>
        <v/>
      </c>
      <c r="J37" s="6"/>
      <c r="K37" s="6"/>
    </row>
    <row r="38" customFormat="false" ht="15" hidden="false" customHeight="true" outlineLevel="0" collapsed="false">
      <c r="A38" s="6"/>
      <c r="B38" s="6"/>
      <c r="C38" s="6"/>
      <c r="D38" s="6"/>
      <c r="E38" s="6" t="str">
        <f aca="false">IF($C38="","",C38/$E$1)</f>
        <v/>
      </c>
      <c r="F38" s="6" t="str">
        <f aca="false">IF($C38="","",D38/$E$1)</f>
        <v/>
      </c>
      <c r="G38" s="15" t="str">
        <f aca="false">IF($C38="","",400/F38)</f>
        <v/>
      </c>
      <c r="H38" s="6" t="str">
        <f aca="false">IF($C38="","",IF(F38&gt;400,0,400-F38))</f>
        <v/>
      </c>
      <c r="I38" s="15" t="str">
        <f aca="false">IF($C38="","",H38/(E38-F38))</f>
        <v/>
      </c>
      <c r="J38" s="6"/>
      <c r="K38" s="6"/>
    </row>
    <row r="39" customFormat="false" ht="15" hidden="false" customHeight="true" outlineLevel="0" collapsed="false">
      <c r="A39" s="6"/>
      <c r="B39" s="6"/>
      <c r="C39" s="6"/>
      <c r="D39" s="6"/>
      <c r="E39" s="6" t="str">
        <f aca="false">IF($C39="","",C39/$E$1)</f>
        <v/>
      </c>
      <c r="F39" s="6" t="str">
        <f aca="false">IF($C39="","",D39/$E$1)</f>
        <v/>
      </c>
      <c r="G39" s="15" t="str">
        <f aca="false">IF($C39="","",400/F39)</f>
        <v/>
      </c>
      <c r="H39" s="6" t="str">
        <f aca="false">IF($C39="","",IF(F39&gt;400,0,400-F39))</f>
        <v/>
      </c>
      <c r="I39" s="15" t="str">
        <f aca="false">IF($C39="","",H39/(E39-F39))</f>
        <v/>
      </c>
      <c r="J39" s="6"/>
      <c r="K39" s="6"/>
    </row>
    <row r="40" customFormat="false" ht="15" hidden="false" customHeight="true" outlineLevel="0" collapsed="false">
      <c r="A40" s="6"/>
      <c r="B40" s="6"/>
      <c r="C40" s="6"/>
      <c r="D40" s="6"/>
      <c r="E40" s="6" t="str">
        <f aca="false">IF($C40="","",C40/$E$1)</f>
        <v/>
      </c>
      <c r="F40" s="6" t="str">
        <f aca="false">IF($C40="","",D40/$E$1)</f>
        <v/>
      </c>
      <c r="G40" s="15" t="str">
        <f aca="false">IF($C40="","",400/F40)</f>
        <v/>
      </c>
      <c r="H40" s="6" t="str">
        <f aca="false">IF($C40="","",IF(F40&gt;400,0,400-F40))</f>
        <v/>
      </c>
      <c r="I40" s="15" t="str">
        <f aca="false">IF($C40="","",H40/(E40-F40))</f>
        <v/>
      </c>
      <c r="J40" s="6"/>
      <c r="K40" s="6"/>
    </row>
    <row r="41" customFormat="false" ht="15" hidden="false" customHeight="true" outlineLevel="0" collapsed="false">
      <c r="A41" s="6"/>
      <c r="B41" s="6"/>
      <c r="C41" s="6"/>
      <c r="D41" s="6"/>
      <c r="E41" s="6" t="str">
        <f aca="false">IF($C41="","",C41/$E$1)</f>
        <v/>
      </c>
      <c r="F41" s="6" t="str">
        <f aca="false">IF($C41="","",D41/$E$1)</f>
        <v/>
      </c>
      <c r="G41" s="15" t="str">
        <f aca="false">IF($C41="","",400/F41)</f>
        <v/>
      </c>
      <c r="H41" s="6" t="str">
        <f aca="false">IF($C41="","",IF(F41&gt;400,0,400-F41))</f>
        <v/>
      </c>
      <c r="I41" s="15" t="str">
        <f aca="false">IF($C41="","",H41/(E41-F41))</f>
        <v/>
      </c>
      <c r="J41" s="6"/>
      <c r="K4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3" style="1" width="26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12" min="12" style="1" width="14"/>
    <col collapsed="false" customWidth="true" hidden="false" outlineLevel="0" max="18" min="18" style="1" width="40"/>
    <col collapsed="false" customWidth="true" hidden="false" outlineLevel="0" max="20" min="20" style="0" width="34"/>
  </cols>
  <sheetData>
    <row r="1" customFormat="false" ht="15" hidden="false" customHeight="true" outlineLevel="0" collapsed="false">
      <c r="A1" s="3" t="s">
        <v>493</v>
      </c>
      <c r="B1" s="2" t="s">
        <v>0</v>
      </c>
      <c r="C1" s="3" t="s">
        <v>2</v>
      </c>
      <c r="D1" s="3" t="s">
        <v>494</v>
      </c>
      <c r="E1" s="3" t="s">
        <v>3</v>
      </c>
      <c r="F1" s="3" t="s">
        <v>5</v>
      </c>
      <c r="G1" s="3" t="s">
        <v>495</v>
      </c>
      <c r="H1" s="3" t="s">
        <v>11</v>
      </c>
      <c r="I1" s="3" t="s">
        <v>12</v>
      </c>
      <c r="J1" s="3" t="s">
        <v>496</v>
      </c>
      <c r="K1" s="3" t="s">
        <v>497</v>
      </c>
      <c r="L1" s="3" t="s">
        <v>498</v>
      </c>
      <c r="M1" s="3" t="s">
        <v>499</v>
      </c>
      <c r="N1" s="3" t="s">
        <v>500</v>
      </c>
      <c r="O1" s="3" t="s">
        <v>501</v>
      </c>
      <c r="P1" s="3" t="s">
        <v>502</v>
      </c>
      <c r="Q1" s="3" t="s">
        <v>503</v>
      </c>
      <c r="R1" s="3" t="s">
        <v>504</v>
      </c>
      <c r="S1" s="5" t="s">
        <v>15</v>
      </c>
      <c r="T1" s="5" t="s">
        <v>22</v>
      </c>
    </row>
    <row r="2" customFormat="false" ht="15" hidden="false" customHeight="true" outlineLevel="0" collapsed="false">
      <c r="A2" s="6" t="n">
        <v>2020</v>
      </c>
      <c r="B2" s="6" t="n">
        <v>1</v>
      </c>
      <c r="C2" s="7" t="s">
        <v>505</v>
      </c>
      <c r="D2" s="7" t="s">
        <v>506</v>
      </c>
      <c r="E2" s="7" t="s">
        <v>54</v>
      </c>
      <c r="F2" s="7" t="s">
        <v>27</v>
      </c>
      <c r="G2" s="6" t="n">
        <v>2</v>
      </c>
      <c r="H2" s="6" t="n">
        <v>6</v>
      </c>
      <c r="I2" s="6" t="n">
        <v>1</v>
      </c>
      <c r="J2" s="9" t="n">
        <v>8000</v>
      </c>
      <c r="K2" s="6" t="n">
        <v>431</v>
      </c>
      <c r="L2" s="6" t="s">
        <v>507</v>
      </c>
      <c r="M2" s="6" t="n">
        <v>0</v>
      </c>
      <c r="N2" s="9" t="n">
        <v>0</v>
      </c>
      <c r="O2" s="9" t="n">
        <v>0</v>
      </c>
      <c r="P2" s="16" t="n">
        <v>0</v>
      </c>
      <c r="Q2" s="6"/>
      <c r="R2" s="6" t="s">
        <v>508</v>
      </c>
      <c r="S2" s="17" t="n">
        <v>2</v>
      </c>
      <c r="T2" s="11" t="s">
        <v>509</v>
      </c>
    </row>
    <row r="3" customFormat="false" ht="15" hidden="false" customHeight="true" outlineLevel="0" collapsed="false">
      <c r="A3" s="6" t="n">
        <v>2020</v>
      </c>
      <c r="B3" s="6" t="n">
        <v>2</v>
      </c>
      <c r="C3" s="7" t="s">
        <v>510</v>
      </c>
      <c r="D3" s="7" t="s">
        <v>511</v>
      </c>
      <c r="E3" s="7" t="s">
        <v>54</v>
      </c>
      <c r="F3" s="7" t="s">
        <v>27</v>
      </c>
      <c r="G3" s="6" t="n">
        <v>2</v>
      </c>
      <c r="H3" s="6" t="n">
        <v>12</v>
      </c>
      <c r="I3" s="6" t="n">
        <v>7</v>
      </c>
      <c r="J3" s="9" t="n">
        <v>15000</v>
      </c>
      <c r="K3" s="6" t="n">
        <v>455</v>
      </c>
      <c r="L3" s="6" t="s">
        <v>512</v>
      </c>
      <c r="M3" s="6" t="n">
        <v>1</v>
      </c>
      <c r="N3" s="9" t="n">
        <v>0</v>
      </c>
      <c r="O3" s="9" t="n">
        <v>55</v>
      </c>
      <c r="P3" s="16" t="n">
        <v>0</v>
      </c>
      <c r="Q3" s="6"/>
      <c r="R3" s="6" t="s">
        <v>513</v>
      </c>
      <c r="S3" s="17" t="n">
        <v>3</v>
      </c>
      <c r="T3" s="11" t="s">
        <v>514</v>
      </c>
    </row>
    <row r="4" customFormat="false" ht="15" hidden="false" customHeight="true" outlineLevel="0" collapsed="false">
      <c r="A4" s="6" t="n">
        <v>2020</v>
      </c>
      <c r="B4" s="6" t="n">
        <v>3</v>
      </c>
      <c r="C4" s="7" t="s">
        <v>515</v>
      </c>
      <c r="D4" s="7" t="s">
        <v>516</v>
      </c>
      <c r="E4" s="7" t="s">
        <v>54</v>
      </c>
      <c r="F4" s="7" t="s">
        <v>37</v>
      </c>
      <c r="G4" s="6" t="n">
        <v>5</v>
      </c>
      <c r="H4" s="6" t="n">
        <v>9</v>
      </c>
      <c r="I4" s="6" t="n">
        <v>2</v>
      </c>
      <c r="J4" s="9" t="n">
        <v>6400</v>
      </c>
      <c r="K4" s="6" t="n">
        <v>390</v>
      </c>
      <c r="L4" s="6" t="s">
        <v>517</v>
      </c>
      <c r="M4" s="6" t="n">
        <v>1</v>
      </c>
      <c r="N4" s="9" t="n">
        <v>1201</v>
      </c>
      <c r="O4" s="9" t="n">
        <v>0</v>
      </c>
      <c r="P4" s="16" t="n">
        <v>0.19</v>
      </c>
      <c r="Q4" s="6"/>
      <c r="R4" s="6" t="s">
        <v>518</v>
      </c>
      <c r="S4" s="17" t="n">
        <v>2</v>
      </c>
      <c r="T4" s="12" t="s">
        <v>519</v>
      </c>
    </row>
    <row r="5" customFormat="false" ht="15" hidden="false" customHeight="true" outlineLevel="0" collapsed="false">
      <c r="A5" s="6" t="n">
        <v>2020</v>
      </c>
      <c r="B5" s="6" t="n">
        <v>4</v>
      </c>
      <c r="C5" s="7" t="s">
        <v>520</v>
      </c>
      <c r="D5" s="7" t="s">
        <v>521</v>
      </c>
      <c r="E5" s="7" t="s">
        <v>227</v>
      </c>
      <c r="F5" s="7" t="s">
        <v>37</v>
      </c>
      <c r="G5" s="6" t="n">
        <v>5</v>
      </c>
      <c r="H5" s="6" t="n">
        <v>6</v>
      </c>
      <c r="I5" s="6" t="n">
        <v>2</v>
      </c>
      <c r="J5" s="9" t="n">
        <v>3000</v>
      </c>
      <c r="K5" s="6" t="n">
        <v>460</v>
      </c>
      <c r="L5" s="6" t="s">
        <v>522</v>
      </c>
      <c r="M5" s="6" t="n">
        <v>0</v>
      </c>
      <c r="N5" s="9" t="n">
        <v>0</v>
      </c>
      <c r="O5" s="9" t="n">
        <v>0</v>
      </c>
      <c r="P5" s="16" t="n">
        <v>0</v>
      </c>
      <c r="Q5" s="6"/>
      <c r="R5" s="6" t="s">
        <v>508</v>
      </c>
      <c r="S5" s="17" t="n">
        <v>3</v>
      </c>
      <c r="T5" s="12" t="s">
        <v>523</v>
      </c>
    </row>
    <row r="6" customFormat="false" ht="15" hidden="false" customHeight="true" outlineLevel="0" collapsed="false">
      <c r="A6" s="6" t="n">
        <v>2020</v>
      </c>
      <c r="B6" s="6" t="n">
        <v>5</v>
      </c>
      <c r="C6" s="7" t="s">
        <v>524</v>
      </c>
      <c r="D6" s="7" t="s">
        <v>525</v>
      </c>
      <c r="E6" s="7" t="s">
        <v>26</v>
      </c>
      <c r="F6" s="7" t="s">
        <v>27</v>
      </c>
      <c r="G6" s="6" t="n">
        <v>1</v>
      </c>
      <c r="H6" s="6" t="n">
        <v>10</v>
      </c>
      <c r="I6" s="6" t="n">
        <v>5</v>
      </c>
      <c r="J6" s="9" t="n">
        <v>5000</v>
      </c>
      <c r="K6" s="6" t="n">
        <v>426</v>
      </c>
      <c r="L6" s="6" t="s">
        <v>507</v>
      </c>
      <c r="M6" s="6" t="n">
        <v>0</v>
      </c>
      <c r="N6" s="9" t="n">
        <v>0</v>
      </c>
      <c r="O6" s="9" t="n">
        <v>0</v>
      </c>
      <c r="P6" s="16" t="n">
        <v>0</v>
      </c>
      <c r="Q6" s="6"/>
      <c r="R6" s="6" t="s">
        <v>508</v>
      </c>
      <c r="S6" s="17" t="n">
        <v>4</v>
      </c>
      <c r="T6" s="11" t="s">
        <v>526</v>
      </c>
    </row>
    <row r="7" customFormat="false" ht="15" hidden="false" customHeight="true" outlineLevel="0" collapsed="false">
      <c r="A7" s="6" t="n">
        <v>2020</v>
      </c>
      <c r="B7" s="6" t="n">
        <v>6</v>
      </c>
      <c r="C7" s="7" t="s">
        <v>527</v>
      </c>
      <c r="D7" s="7" t="s">
        <v>528</v>
      </c>
      <c r="E7" s="7" t="s">
        <v>26</v>
      </c>
      <c r="F7" s="7" t="s">
        <v>27</v>
      </c>
      <c r="G7" s="6" t="n">
        <v>4</v>
      </c>
      <c r="H7" s="6" t="n">
        <v>8</v>
      </c>
      <c r="I7" s="6" t="n">
        <v>2</v>
      </c>
      <c r="J7" s="9" t="n">
        <v>10000</v>
      </c>
      <c r="K7" s="6" t="n">
        <v>447</v>
      </c>
      <c r="L7" s="6" t="s">
        <v>529</v>
      </c>
      <c r="M7" s="6" t="n">
        <v>4</v>
      </c>
      <c r="N7" s="9" t="n">
        <v>6016</v>
      </c>
      <c r="O7" s="9" t="n">
        <v>0</v>
      </c>
      <c r="P7" s="16" t="n">
        <v>0.6</v>
      </c>
      <c r="Q7" s="6"/>
      <c r="R7" s="6" t="s">
        <v>530</v>
      </c>
      <c r="S7" s="17" t="n">
        <v>5</v>
      </c>
      <c r="T7" s="11" t="s">
        <v>531</v>
      </c>
    </row>
    <row r="8" customFormat="false" ht="15" hidden="false" customHeight="true" outlineLevel="0" collapsed="false">
      <c r="A8" s="6" t="n">
        <v>2020</v>
      </c>
      <c r="B8" s="6" t="n">
        <v>7</v>
      </c>
      <c r="C8" s="7" t="s">
        <v>532</v>
      </c>
      <c r="D8" s="7" t="s">
        <v>533</v>
      </c>
      <c r="E8" s="7" t="s">
        <v>26</v>
      </c>
      <c r="F8" s="7" t="s">
        <v>37</v>
      </c>
      <c r="G8" s="6" t="n">
        <v>3</v>
      </c>
      <c r="H8" s="6" t="n">
        <v>7</v>
      </c>
      <c r="I8" s="6" t="n">
        <v>1</v>
      </c>
      <c r="J8" s="9" t="n">
        <v>5000</v>
      </c>
      <c r="K8" s="6" t="n">
        <v>421</v>
      </c>
      <c r="L8" s="6" t="s">
        <v>534</v>
      </c>
      <c r="M8" s="6" t="n">
        <v>1</v>
      </c>
      <c r="N8" s="9" t="n">
        <v>370</v>
      </c>
      <c r="O8" s="9" t="n">
        <v>42</v>
      </c>
      <c r="P8" s="16" t="n">
        <v>0.08</v>
      </c>
      <c r="Q8" s="6"/>
      <c r="R8" s="7" t="s">
        <v>535</v>
      </c>
      <c r="S8" s="17" t="n">
        <v>3</v>
      </c>
      <c r="T8" s="12" t="s">
        <v>117</v>
      </c>
    </row>
    <row r="9" customFormat="false" ht="15" hidden="false" customHeight="true" outlineLevel="0" collapsed="false">
      <c r="A9" s="6" t="n">
        <v>2020</v>
      </c>
      <c r="B9" s="6" t="n">
        <v>8</v>
      </c>
      <c r="C9" s="7" t="s">
        <v>536</v>
      </c>
      <c r="D9" s="7" t="s">
        <v>537</v>
      </c>
      <c r="E9" s="7" t="s">
        <v>26</v>
      </c>
      <c r="F9" s="7" t="s">
        <v>37</v>
      </c>
      <c r="G9" s="6" t="n">
        <v>5</v>
      </c>
      <c r="H9" s="6" t="n">
        <v>12</v>
      </c>
      <c r="I9" s="6" t="n">
        <v>5</v>
      </c>
      <c r="J9" s="9" t="n">
        <v>3600</v>
      </c>
      <c r="K9" s="6" t="n">
        <v>398</v>
      </c>
      <c r="L9" s="6" t="s">
        <v>538</v>
      </c>
      <c r="M9" s="6" t="n">
        <v>0</v>
      </c>
      <c r="N9" s="9" t="n">
        <v>0</v>
      </c>
      <c r="O9" s="9" t="n">
        <v>0</v>
      </c>
      <c r="P9" s="16" t="n">
        <v>0</v>
      </c>
      <c r="Q9" s="6"/>
      <c r="R9" s="6" t="s">
        <v>508</v>
      </c>
      <c r="S9" s="17" t="n">
        <v>2</v>
      </c>
      <c r="T9" s="12" t="s">
        <v>140</v>
      </c>
    </row>
    <row r="10" customFormat="false" ht="15" hidden="false" customHeight="true" outlineLevel="0" collapsed="false">
      <c r="A10" s="6" t="n">
        <v>2020</v>
      </c>
      <c r="B10" s="6" t="n">
        <v>9</v>
      </c>
      <c r="C10" s="7" t="s">
        <v>539</v>
      </c>
      <c r="D10" s="7" t="s">
        <v>540</v>
      </c>
      <c r="E10" s="7" t="s">
        <v>299</v>
      </c>
      <c r="F10" s="7" t="s">
        <v>27</v>
      </c>
      <c r="G10" s="6" t="n">
        <v>2</v>
      </c>
      <c r="H10" s="6" t="n">
        <v>8</v>
      </c>
      <c r="I10" s="6" t="n">
        <v>1</v>
      </c>
      <c r="J10" s="9" t="n">
        <v>4000</v>
      </c>
      <c r="K10" s="6" t="n">
        <v>449</v>
      </c>
      <c r="L10" s="6" t="s">
        <v>538</v>
      </c>
      <c r="M10" s="6" t="n">
        <v>0</v>
      </c>
      <c r="N10" s="9" t="n">
        <v>0</v>
      </c>
      <c r="O10" s="9" t="n">
        <v>0</v>
      </c>
      <c r="P10" s="16" t="n">
        <v>0</v>
      </c>
      <c r="Q10" s="6"/>
      <c r="R10" s="6" t="s">
        <v>508</v>
      </c>
      <c r="S10" s="17" t="n">
        <v>5</v>
      </c>
      <c r="T10" s="11" t="s">
        <v>541</v>
      </c>
    </row>
    <row r="11" customFormat="false" ht="15" hidden="false" customHeight="true" outlineLevel="0" collapsed="false">
      <c r="A11" s="6" t="n">
        <v>2020</v>
      </c>
      <c r="B11" s="6" t="n">
        <v>10</v>
      </c>
      <c r="C11" s="7" t="s">
        <v>542</v>
      </c>
      <c r="D11" s="7" t="s">
        <v>543</v>
      </c>
      <c r="E11" s="7" t="s">
        <v>299</v>
      </c>
      <c r="F11" s="7" t="s">
        <v>27</v>
      </c>
      <c r="G11" s="6" t="n">
        <v>5</v>
      </c>
      <c r="H11" s="6" t="n">
        <v>14</v>
      </c>
      <c r="I11" s="6" t="n">
        <v>10</v>
      </c>
      <c r="J11" s="9" t="n">
        <v>4400</v>
      </c>
      <c r="K11" s="6" t="n">
        <v>413</v>
      </c>
      <c r="L11" s="6" t="s">
        <v>544</v>
      </c>
      <c r="M11" s="6" t="n">
        <v>3</v>
      </c>
      <c r="N11" s="9" t="n">
        <v>4417</v>
      </c>
      <c r="O11" s="9" t="n">
        <v>0</v>
      </c>
      <c r="P11" s="16" t="n">
        <v>1</v>
      </c>
      <c r="Q11" s="6"/>
      <c r="R11" s="6" t="s">
        <v>545</v>
      </c>
      <c r="S11" s="17" t="n">
        <v>3</v>
      </c>
      <c r="T11" s="11" t="s">
        <v>546</v>
      </c>
    </row>
    <row r="12" customFormat="false" ht="15" hidden="false" customHeight="true" outlineLevel="0" collapsed="false">
      <c r="A12" s="6" t="n">
        <v>2020</v>
      </c>
      <c r="B12" s="6" t="n">
        <v>11</v>
      </c>
      <c r="C12" s="7" t="s">
        <v>547</v>
      </c>
      <c r="D12" s="7" t="s">
        <v>548</v>
      </c>
      <c r="E12" s="7" t="s">
        <v>299</v>
      </c>
      <c r="F12" s="7" t="s">
        <v>37</v>
      </c>
      <c r="G12" s="6" t="n">
        <v>2</v>
      </c>
      <c r="H12" s="6" t="n">
        <v>11</v>
      </c>
      <c r="I12" s="6" t="n">
        <v>5</v>
      </c>
      <c r="J12" s="9" t="n">
        <v>2800</v>
      </c>
      <c r="K12" s="6" t="n">
        <v>459</v>
      </c>
      <c r="L12" s="6" t="s">
        <v>549</v>
      </c>
      <c r="M12" s="6" t="n">
        <v>2</v>
      </c>
      <c r="N12" s="9" t="n">
        <v>2990</v>
      </c>
      <c r="O12" s="9" t="n">
        <v>0</v>
      </c>
      <c r="P12" s="16" t="n">
        <v>1.07</v>
      </c>
      <c r="Q12" s="6"/>
      <c r="R12" s="6" t="s">
        <v>550</v>
      </c>
      <c r="S12" s="17" t="n">
        <v>4</v>
      </c>
      <c r="T12" s="12" t="s">
        <v>551</v>
      </c>
    </row>
    <row r="13" customFormat="false" ht="15" hidden="false" customHeight="true" outlineLevel="0" collapsed="false">
      <c r="A13" s="6" t="n">
        <v>2020</v>
      </c>
      <c r="B13" s="6" t="n">
        <v>12</v>
      </c>
      <c r="C13" s="7" t="s">
        <v>552</v>
      </c>
      <c r="D13" s="7" t="s">
        <v>553</v>
      </c>
      <c r="E13" s="7" t="s">
        <v>299</v>
      </c>
      <c r="F13" s="7" t="s">
        <v>37</v>
      </c>
      <c r="G13" s="6" t="n">
        <v>2</v>
      </c>
      <c r="H13" s="6" t="n">
        <v>16</v>
      </c>
      <c r="I13" s="6" t="n">
        <v>10</v>
      </c>
      <c r="J13" s="9" t="n">
        <v>3200</v>
      </c>
      <c r="K13" s="6" t="n">
        <v>438</v>
      </c>
      <c r="L13" s="6" t="s">
        <v>554</v>
      </c>
      <c r="M13" s="6" t="n">
        <v>0</v>
      </c>
      <c r="N13" s="9" t="n">
        <v>258</v>
      </c>
      <c r="O13" s="9" t="n">
        <v>0</v>
      </c>
      <c r="P13" s="16" t="n">
        <v>0.08</v>
      </c>
      <c r="Q13" s="6"/>
      <c r="R13" s="6" t="s">
        <v>508</v>
      </c>
      <c r="S13" s="17" t="n">
        <v>3</v>
      </c>
      <c r="T13" s="12" t="s">
        <v>555</v>
      </c>
    </row>
    <row r="14" customFormat="false" ht="15" hidden="false" customHeight="true" outlineLevel="0" collapsed="false">
      <c r="A14" s="6" t="n">
        <v>2020</v>
      </c>
      <c r="B14" s="6" t="n">
        <v>13</v>
      </c>
      <c r="C14" s="7" t="s">
        <v>556</v>
      </c>
      <c r="D14" s="7" t="s">
        <v>557</v>
      </c>
      <c r="E14" s="7" t="s">
        <v>299</v>
      </c>
      <c r="F14" s="7" t="s">
        <v>37</v>
      </c>
      <c r="G14" s="6" t="n">
        <v>3</v>
      </c>
      <c r="H14" s="6" t="n">
        <v>11</v>
      </c>
      <c r="I14" s="6" t="n">
        <v>5</v>
      </c>
      <c r="J14" s="9" t="n">
        <v>2600</v>
      </c>
      <c r="K14" s="6" t="n">
        <v>411</v>
      </c>
      <c r="L14" s="6" t="s">
        <v>538</v>
      </c>
      <c r="M14" s="6" t="n">
        <v>0</v>
      </c>
      <c r="N14" s="9" t="n">
        <v>0</v>
      </c>
      <c r="O14" s="9" t="n">
        <v>0</v>
      </c>
      <c r="P14" s="16" t="n">
        <v>0</v>
      </c>
      <c r="Q14" s="6"/>
      <c r="R14" s="6" t="s">
        <v>508</v>
      </c>
      <c r="S14" s="17" t="n">
        <v>3</v>
      </c>
      <c r="T14" s="12" t="s">
        <v>558</v>
      </c>
    </row>
    <row r="15" customFormat="false" ht="15" hidden="false" customHeight="true" outlineLevel="0" collapsed="false">
      <c r="A15" s="6" t="n">
        <v>2020</v>
      </c>
      <c r="B15" s="6" t="n">
        <v>14</v>
      </c>
      <c r="C15" s="7" t="s">
        <v>559</v>
      </c>
      <c r="D15" s="7" t="s">
        <v>560</v>
      </c>
      <c r="E15" s="7" t="s">
        <v>135</v>
      </c>
      <c r="F15" s="7" t="s">
        <v>27</v>
      </c>
      <c r="G15" s="6" t="n">
        <v>1</v>
      </c>
      <c r="H15" s="6" t="n">
        <v>9</v>
      </c>
      <c r="I15" s="6" t="n">
        <v>3</v>
      </c>
      <c r="J15" s="9" t="n">
        <v>5000</v>
      </c>
      <c r="K15" s="6" t="n">
        <v>464</v>
      </c>
      <c r="L15" s="6" t="s">
        <v>561</v>
      </c>
      <c r="M15" s="6" t="n">
        <v>1</v>
      </c>
      <c r="N15" s="9" t="n">
        <v>520</v>
      </c>
      <c r="O15" s="9" t="n">
        <v>0</v>
      </c>
      <c r="P15" s="16" t="n">
        <v>0.1</v>
      </c>
      <c r="Q15" s="6"/>
      <c r="R15" s="6" t="s">
        <v>562</v>
      </c>
      <c r="S15" s="17" t="n">
        <v>5</v>
      </c>
      <c r="T15" s="11" t="s">
        <v>563</v>
      </c>
    </row>
    <row r="16" customFormat="false" ht="15" hidden="false" customHeight="true" outlineLevel="0" collapsed="false">
      <c r="A16" s="6" t="n">
        <v>2020</v>
      </c>
      <c r="B16" s="6" t="n">
        <v>15</v>
      </c>
      <c r="C16" s="7" t="s">
        <v>564</v>
      </c>
      <c r="D16" s="7" t="s">
        <v>565</v>
      </c>
      <c r="E16" s="7" t="s">
        <v>135</v>
      </c>
      <c r="F16" s="7" t="s">
        <v>27</v>
      </c>
      <c r="G16" s="6" t="n">
        <v>3</v>
      </c>
      <c r="H16" s="6" t="n">
        <v>8</v>
      </c>
      <c r="I16" s="6" t="n">
        <v>2</v>
      </c>
      <c r="J16" s="9" t="n">
        <v>5000</v>
      </c>
      <c r="K16" s="6" t="n">
        <v>478</v>
      </c>
      <c r="L16" s="6" t="s">
        <v>566</v>
      </c>
      <c r="M16" s="6" t="n">
        <v>1</v>
      </c>
      <c r="N16" s="9" t="n">
        <v>2493</v>
      </c>
      <c r="O16" s="9" t="n">
        <v>0</v>
      </c>
      <c r="P16" s="16" t="n">
        <v>0.5</v>
      </c>
      <c r="Q16" s="6"/>
      <c r="R16" s="6" t="s">
        <v>562</v>
      </c>
      <c r="S16" s="17" t="n">
        <v>6</v>
      </c>
      <c r="T16" s="11" t="s">
        <v>567</v>
      </c>
    </row>
    <row r="17" customFormat="false" ht="15" hidden="false" customHeight="true" outlineLevel="0" collapsed="false">
      <c r="A17" s="6" t="n">
        <v>2020</v>
      </c>
      <c r="B17" s="6" t="n">
        <v>16</v>
      </c>
      <c r="C17" s="7" t="s">
        <v>568</v>
      </c>
      <c r="D17" s="7" t="s">
        <v>569</v>
      </c>
      <c r="E17" s="7" t="s">
        <v>135</v>
      </c>
      <c r="F17" s="7" t="s">
        <v>37</v>
      </c>
      <c r="G17" s="6" t="n">
        <v>3</v>
      </c>
      <c r="H17" s="6" t="n">
        <v>8</v>
      </c>
      <c r="I17" s="6" t="n">
        <v>2</v>
      </c>
      <c r="J17" s="9" t="n">
        <v>2400</v>
      </c>
      <c r="K17" s="6" t="n">
        <v>482</v>
      </c>
      <c r="L17" s="6" t="s">
        <v>570</v>
      </c>
      <c r="M17" s="6" t="n">
        <v>2</v>
      </c>
      <c r="N17" s="9" t="n">
        <v>0</v>
      </c>
      <c r="O17" s="9" t="n">
        <v>70</v>
      </c>
      <c r="P17" s="16" t="n">
        <v>0.03</v>
      </c>
      <c r="Q17" s="6"/>
      <c r="R17" s="6" t="s">
        <v>571</v>
      </c>
      <c r="S17" s="17" t="n">
        <v>4</v>
      </c>
      <c r="T17" s="12" t="s">
        <v>572</v>
      </c>
    </row>
    <row r="18" customFormat="false" ht="15" hidden="false" customHeight="true" outlineLevel="0" collapsed="false">
      <c r="A18" s="6" t="n">
        <v>2020</v>
      </c>
      <c r="B18" s="6" t="n">
        <v>17</v>
      </c>
      <c r="C18" s="7" t="s">
        <v>573</v>
      </c>
      <c r="D18" s="7" t="s">
        <v>574</v>
      </c>
      <c r="E18" s="7" t="s">
        <v>135</v>
      </c>
      <c r="F18" s="7" t="s">
        <v>37</v>
      </c>
      <c r="G18" s="6" t="n">
        <v>3</v>
      </c>
      <c r="H18" s="6" t="n">
        <v>9</v>
      </c>
      <c r="I18" s="6" t="n">
        <v>3</v>
      </c>
      <c r="J18" s="9" t="n">
        <v>2000</v>
      </c>
      <c r="K18" s="6" t="n">
        <v>399</v>
      </c>
      <c r="L18" s="6" t="s">
        <v>575</v>
      </c>
      <c r="M18" s="6" t="n">
        <v>2</v>
      </c>
      <c r="N18" s="9" t="n">
        <v>3324</v>
      </c>
      <c r="O18" s="9" t="n">
        <v>0</v>
      </c>
      <c r="P18" s="16" t="n">
        <v>1.66</v>
      </c>
      <c r="Q18" s="6"/>
      <c r="R18" s="6" t="s">
        <v>576</v>
      </c>
      <c r="S18" s="17" t="n">
        <v>3</v>
      </c>
      <c r="T18" s="12" t="s">
        <v>46</v>
      </c>
    </row>
    <row r="19" customFormat="false" ht="15" hidden="false" customHeight="true" outlineLevel="0" collapsed="false">
      <c r="A19" s="6" t="n">
        <v>2020</v>
      </c>
      <c r="B19" s="6" t="n">
        <v>18</v>
      </c>
      <c r="C19" s="7" t="s">
        <v>577</v>
      </c>
      <c r="D19" s="7" t="s">
        <v>578</v>
      </c>
      <c r="E19" s="7" t="s">
        <v>89</v>
      </c>
      <c r="F19" s="7" t="s">
        <v>27</v>
      </c>
      <c r="G19" s="6" t="n">
        <v>1</v>
      </c>
      <c r="H19" s="6" t="n">
        <v>7</v>
      </c>
      <c r="I19" s="6" t="n">
        <v>1</v>
      </c>
      <c r="J19" s="9" t="n">
        <v>2000</v>
      </c>
      <c r="K19" s="6" t="n">
        <v>444</v>
      </c>
      <c r="L19" s="6" t="s">
        <v>579</v>
      </c>
      <c r="M19" s="6" t="n">
        <v>1</v>
      </c>
      <c r="N19" s="9" t="n">
        <v>1200</v>
      </c>
      <c r="O19" s="9" t="n">
        <v>65</v>
      </c>
      <c r="P19" s="16" t="n">
        <v>0.63</v>
      </c>
      <c r="Q19" s="6"/>
      <c r="R19" s="6" t="s">
        <v>562</v>
      </c>
      <c r="S19" s="17" t="n">
        <v>3</v>
      </c>
      <c r="T19" s="11" t="s">
        <v>80</v>
      </c>
    </row>
    <row r="20" customFormat="false" ht="15" hidden="false" customHeight="true" outlineLevel="0" collapsed="false">
      <c r="A20" s="6" t="n">
        <v>2020</v>
      </c>
      <c r="B20" s="6" t="n">
        <v>19</v>
      </c>
      <c r="C20" s="7" t="s">
        <v>580</v>
      </c>
      <c r="D20" s="7" t="s">
        <v>581</v>
      </c>
      <c r="E20" s="7" t="s">
        <v>89</v>
      </c>
      <c r="F20" s="7" t="s">
        <v>37</v>
      </c>
      <c r="G20" s="6" t="n">
        <v>4</v>
      </c>
      <c r="H20" s="6" t="n">
        <v>8</v>
      </c>
      <c r="I20" s="6" t="n">
        <v>3</v>
      </c>
      <c r="J20" s="9" t="n">
        <v>2000</v>
      </c>
      <c r="K20" s="6" t="n">
        <v>435</v>
      </c>
      <c r="L20" s="6" t="s">
        <v>582</v>
      </c>
      <c r="M20" s="6" t="n">
        <v>0</v>
      </c>
      <c r="N20" s="9" t="n">
        <v>1234</v>
      </c>
      <c r="O20" s="9" t="n">
        <v>0</v>
      </c>
      <c r="P20" s="16" t="n">
        <v>0.62</v>
      </c>
      <c r="Q20" s="6"/>
      <c r="R20" s="6" t="s">
        <v>508</v>
      </c>
      <c r="S20" s="17" t="n">
        <v>4</v>
      </c>
      <c r="T20" s="12" t="s">
        <v>583</v>
      </c>
    </row>
    <row r="21" customFormat="false" ht="15" hidden="false" customHeight="true" outlineLevel="0" collapsed="false">
      <c r="A21" s="6" t="n">
        <v>2020</v>
      </c>
      <c r="B21" s="6" t="n">
        <v>20</v>
      </c>
      <c r="C21" s="7" t="s">
        <v>584</v>
      </c>
      <c r="D21" s="7" t="s">
        <v>585</v>
      </c>
      <c r="E21" s="7" t="s">
        <v>89</v>
      </c>
      <c r="F21" s="7" t="s">
        <v>37</v>
      </c>
      <c r="G21" s="6" t="n">
        <v>5</v>
      </c>
      <c r="H21" s="6" t="n">
        <v>16</v>
      </c>
      <c r="I21" s="6" t="n">
        <v>9</v>
      </c>
      <c r="J21" s="9" t="n">
        <v>3000</v>
      </c>
      <c r="K21" s="6" t="n">
        <v>431</v>
      </c>
      <c r="L21" s="6" t="s">
        <v>586</v>
      </c>
      <c r="M21" s="6" t="n">
        <v>2</v>
      </c>
      <c r="N21" s="9" t="n">
        <v>3011</v>
      </c>
      <c r="O21" s="9" t="n">
        <v>0</v>
      </c>
      <c r="P21" s="16" t="n">
        <v>1</v>
      </c>
      <c r="Q21" s="6"/>
      <c r="R21" s="6" t="s">
        <v>587</v>
      </c>
      <c r="S21" s="17" t="n">
        <v>3</v>
      </c>
      <c r="T21" s="12" t="s">
        <v>588</v>
      </c>
    </row>
    <row r="22" customFormat="false" ht="15" hidden="false" customHeight="true" outlineLevel="0" collapsed="false">
      <c r="A22" s="6" t="n">
        <v>2020</v>
      </c>
      <c r="B22" s="6" t="n">
        <v>21</v>
      </c>
      <c r="C22" s="7" t="s">
        <v>589</v>
      </c>
      <c r="D22" s="7" t="s">
        <v>590</v>
      </c>
      <c r="E22" s="7" t="s">
        <v>58</v>
      </c>
      <c r="F22" s="7" t="s">
        <v>27</v>
      </c>
      <c r="G22" s="6" t="n">
        <v>3</v>
      </c>
      <c r="H22" s="6" t="n">
        <v>10</v>
      </c>
      <c r="I22" s="6" t="n">
        <v>3</v>
      </c>
      <c r="J22" s="9" t="n">
        <v>3000</v>
      </c>
      <c r="K22" s="6" t="n">
        <v>455</v>
      </c>
      <c r="L22" s="6" t="s">
        <v>591</v>
      </c>
      <c r="M22" s="6" t="n">
        <v>1</v>
      </c>
      <c r="N22" s="9" t="n">
        <v>2620</v>
      </c>
      <c r="O22" s="9" t="n">
        <v>0</v>
      </c>
      <c r="P22" s="16" t="n">
        <v>0.87</v>
      </c>
      <c r="Q22" s="6"/>
      <c r="R22" s="6" t="s">
        <v>562</v>
      </c>
      <c r="S22" s="17" t="n">
        <v>6</v>
      </c>
      <c r="T22" s="11" t="s">
        <v>592</v>
      </c>
    </row>
    <row r="23" customFormat="false" ht="15" hidden="false" customHeight="true" outlineLevel="0" collapsed="false">
      <c r="A23" s="6" t="n">
        <v>2020</v>
      </c>
      <c r="B23" s="6" t="n">
        <v>22</v>
      </c>
      <c r="C23" s="7" t="s">
        <v>593</v>
      </c>
      <c r="D23" s="7" t="s">
        <v>594</v>
      </c>
      <c r="E23" s="7" t="s">
        <v>58</v>
      </c>
      <c r="F23" s="7" t="s">
        <v>27</v>
      </c>
      <c r="G23" s="6" t="n">
        <v>3</v>
      </c>
      <c r="H23" s="6" t="n">
        <v>7</v>
      </c>
      <c r="I23" s="6" t="n">
        <v>3</v>
      </c>
      <c r="J23" s="9" t="n">
        <v>5000</v>
      </c>
      <c r="K23" s="6" t="n">
        <v>458</v>
      </c>
      <c r="L23" s="6" t="s">
        <v>595</v>
      </c>
      <c r="M23" s="6" t="n">
        <v>1</v>
      </c>
      <c r="N23" s="9" t="n">
        <v>5149</v>
      </c>
      <c r="O23" s="9" t="n">
        <v>0</v>
      </c>
      <c r="P23" s="16" t="n">
        <v>1.03</v>
      </c>
      <c r="Q23" s="6"/>
      <c r="R23" s="6" t="s">
        <v>518</v>
      </c>
      <c r="S23" s="17" t="n">
        <v>5</v>
      </c>
      <c r="T23" s="11" t="s">
        <v>596</v>
      </c>
    </row>
    <row r="24" customFormat="false" ht="15" hidden="false" customHeight="true" outlineLevel="0" collapsed="false">
      <c r="A24" s="6" t="n">
        <v>2020</v>
      </c>
      <c r="B24" s="6" t="n">
        <v>23</v>
      </c>
      <c r="C24" s="7" t="s">
        <v>597</v>
      </c>
      <c r="D24" s="7" t="s">
        <v>598</v>
      </c>
      <c r="E24" s="7" t="s">
        <v>58</v>
      </c>
      <c r="F24" s="7" t="s">
        <v>27</v>
      </c>
      <c r="G24" s="6" t="n">
        <v>5</v>
      </c>
      <c r="H24" s="6" t="n">
        <v>6</v>
      </c>
      <c r="I24" s="6" t="n">
        <v>1</v>
      </c>
      <c r="J24" s="9" t="n">
        <v>3000</v>
      </c>
      <c r="K24" s="6" t="n">
        <v>424</v>
      </c>
      <c r="L24" s="6" t="s">
        <v>599</v>
      </c>
      <c r="M24" s="6" t="n">
        <v>0</v>
      </c>
      <c r="N24" s="9" t="n">
        <v>78</v>
      </c>
      <c r="O24" s="9" t="n">
        <v>0</v>
      </c>
      <c r="P24" s="16" t="n">
        <v>0.03</v>
      </c>
      <c r="Q24" s="6"/>
      <c r="R24" s="6" t="s">
        <v>508</v>
      </c>
      <c r="S24" s="17" t="n">
        <v>3</v>
      </c>
      <c r="T24" s="11" t="s">
        <v>546</v>
      </c>
    </row>
    <row r="25" customFormat="false" ht="15" hidden="false" customHeight="true" outlineLevel="0" collapsed="false">
      <c r="A25" s="6" t="n">
        <v>2020</v>
      </c>
      <c r="B25" s="6" t="n">
        <v>24</v>
      </c>
      <c r="C25" s="7" t="s">
        <v>600</v>
      </c>
      <c r="D25" s="7" t="s">
        <v>601</v>
      </c>
      <c r="E25" s="7" t="s">
        <v>190</v>
      </c>
      <c r="F25" s="7" t="s">
        <v>27</v>
      </c>
      <c r="G25" s="6" t="n">
        <v>4</v>
      </c>
      <c r="H25" s="6" t="n">
        <v>8</v>
      </c>
      <c r="I25" s="6" t="n">
        <v>2</v>
      </c>
      <c r="J25" s="9" t="n">
        <v>2600</v>
      </c>
      <c r="K25" s="6" t="n">
        <v>411</v>
      </c>
      <c r="L25" s="6" t="s">
        <v>602</v>
      </c>
      <c r="M25" s="6" t="n">
        <v>3</v>
      </c>
      <c r="N25" s="9" t="n">
        <v>78</v>
      </c>
      <c r="O25" s="9" t="n">
        <v>124</v>
      </c>
      <c r="P25" s="16" t="n">
        <v>0.08</v>
      </c>
      <c r="Q25" s="6"/>
      <c r="R25" s="7" t="s">
        <v>603</v>
      </c>
      <c r="S25" s="17" t="n">
        <v>4</v>
      </c>
      <c r="T25" s="11" t="s">
        <v>212</v>
      </c>
    </row>
    <row r="26" customFormat="false" ht="15" hidden="false" customHeight="true" outlineLevel="0" collapsed="false">
      <c r="A26" s="6" t="n">
        <v>2020</v>
      </c>
      <c r="B26" s="6" t="n">
        <v>25</v>
      </c>
      <c r="C26" s="7" t="s">
        <v>604</v>
      </c>
      <c r="D26" s="7" t="s">
        <v>605</v>
      </c>
      <c r="E26" s="7" t="s">
        <v>190</v>
      </c>
      <c r="F26" s="7" t="s">
        <v>37</v>
      </c>
      <c r="G26" s="6" t="n">
        <v>1</v>
      </c>
      <c r="H26" s="6" t="n">
        <v>8</v>
      </c>
      <c r="I26" s="6" t="n">
        <v>2</v>
      </c>
      <c r="J26" s="9" t="n">
        <v>1800</v>
      </c>
      <c r="K26" s="6" t="n">
        <v>536</v>
      </c>
      <c r="L26" s="6" t="s">
        <v>606</v>
      </c>
      <c r="M26" s="6" t="n">
        <v>2</v>
      </c>
      <c r="N26" s="9" t="n">
        <v>2877</v>
      </c>
      <c r="O26" s="9" t="n">
        <v>0</v>
      </c>
      <c r="P26" s="16" t="n">
        <v>1.6</v>
      </c>
      <c r="Q26" s="6"/>
      <c r="R26" s="6" t="s">
        <v>607</v>
      </c>
      <c r="S26" s="17" t="n">
        <v>3</v>
      </c>
      <c r="T26" s="12" t="s">
        <v>608</v>
      </c>
    </row>
    <row r="27" customFormat="false" ht="15" hidden="false" customHeight="true" outlineLevel="0" collapsed="false">
      <c r="A27" s="6" t="n">
        <v>2020</v>
      </c>
      <c r="B27" s="6" t="n">
        <v>26</v>
      </c>
      <c r="C27" s="7" t="s">
        <v>609</v>
      </c>
      <c r="D27" s="7" t="s">
        <v>610</v>
      </c>
      <c r="E27" s="7" t="s">
        <v>190</v>
      </c>
      <c r="F27" s="7" t="s">
        <v>37</v>
      </c>
      <c r="G27" s="6" t="n">
        <v>3</v>
      </c>
      <c r="H27" s="6" t="n">
        <v>6</v>
      </c>
      <c r="I27" s="6" t="n">
        <v>1</v>
      </c>
      <c r="J27" s="9" t="n">
        <v>1800</v>
      </c>
      <c r="K27" s="6" t="n">
        <v>436</v>
      </c>
      <c r="L27" s="6" t="s">
        <v>611</v>
      </c>
      <c r="M27" s="6" t="n">
        <v>0</v>
      </c>
      <c r="N27" s="9" t="n">
        <v>0</v>
      </c>
      <c r="O27" s="9" t="n">
        <v>0</v>
      </c>
      <c r="P27" s="16" t="n">
        <v>0</v>
      </c>
      <c r="Q27" s="6"/>
      <c r="R27" s="6" t="s">
        <v>508</v>
      </c>
      <c r="S27" s="17" t="n">
        <v>3</v>
      </c>
      <c r="T27" s="12" t="s">
        <v>612</v>
      </c>
    </row>
    <row r="28" customFormat="false" ht="15" hidden="false" customHeight="true" outlineLevel="0" collapsed="false">
      <c r="A28" s="6" t="n">
        <v>2020</v>
      </c>
      <c r="B28" s="6" t="n">
        <v>27</v>
      </c>
      <c r="C28" s="7" t="s">
        <v>613</v>
      </c>
      <c r="D28" s="7" t="s">
        <v>614</v>
      </c>
      <c r="E28" s="7" t="s">
        <v>72</v>
      </c>
      <c r="F28" s="7" t="s">
        <v>27</v>
      </c>
      <c r="G28" s="6" t="n">
        <v>2</v>
      </c>
      <c r="H28" s="6" t="n">
        <v>7</v>
      </c>
      <c r="I28" s="6" t="n">
        <v>1</v>
      </c>
      <c r="J28" s="9" t="n">
        <v>5000</v>
      </c>
      <c r="K28" s="6" t="n">
        <v>447</v>
      </c>
      <c r="L28" s="6" t="s">
        <v>615</v>
      </c>
      <c r="M28" s="6" t="n">
        <v>6</v>
      </c>
      <c r="N28" s="9" t="n">
        <v>13588</v>
      </c>
      <c r="O28" s="9" t="n">
        <v>310</v>
      </c>
      <c r="P28" s="16" t="n">
        <v>2.78</v>
      </c>
      <c r="Q28" s="6" t="s">
        <v>32</v>
      </c>
      <c r="R28" s="6" t="s">
        <v>616</v>
      </c>
      <c r="S28" s="17" t="n">
        <v>4</v>
      </c>
      <c r="T28" s="11" t="s">
        <v>617</v>
      </c>
    </row>
    <row r="29" customFormat="false" ht="15" hidden="false" customHeight="true" outlineLevel="0" collapsed="false">
      <c r="A29" s="6" t="n">
        <v>2020</v>
      </c>
      <c r="B29" s="6" t="n">
        <v>28</v>
      </c>
      <c r="C29" s="7" t="s">
        <v>618</v>
      </c>
      <c r="D29" s="7" t="s">
        <v>619</v>
      </c>
      <c r="E29" s="7" t="s">
        <v>63</v>
      </c>
      <c r="F29" s="7" t="s">
        <v>37</v>
      </c>
      <c r="G29" s="6" t="n">
        <v>4</v>
      </c>
      <c r="H29" s="6" t="n">
        <v>17</v>
      </c>
      <c r="I29" s="6" t="n">
        <v>14</v>
      </c>
      <c r="J29" s="9" t="n">
        <v>2000</v>
      </c>
      <c r="K29" s="6" t="n">
        <v>446</v>
      </c>
      <c r="L29" s="6" t="s">
        <v>538</v>
      </c>
      <c r="M29" s="6" t="n">
        <v>0</v>
      </c>
      <c r="N29" s="9" t="n">
        <v>0</v>
      </c>
      <c r="O29" s="9" t="n">
        <v>0</v>
      </c>
      <c r="P29" s="16" t="n">
        <v>0</v>
      </c>
      <c r="Q29" s="6"/>
      <c r="R29" s="6" t="s">
        <v>508</v>
      </c>
      <c r="S29" s="17" t="n">
        <v>3</v>
      </c>
      <c r="T29" s="12" t="s">
        <v>620</v>
      </c>
    </row>
    <row r="30" customFormat="false" ht="15" hidden="false" customHeight="true" outlineLevel="0" collapsed="false">
      <c r="A30" s="6" t="n">
        <v>2020</v>
      </c>
      <c r="B30" s="6" t="n">
        <v>29</v>
      </c>
      <c r="C30" s="7" t="s">
        <v>621</v>
      </c>
      <c r="D30" s="7" t="s">
        <v>622</v>
      </c>
      <c r="E30" s="7" t="s">
        <v>364</v>
      </c>
      <c r="F30" s="7" t="s">
        <v>37</v>
      </c>
      <c r="G30" s="6" t="n">
        <v>1</v>
      </c>
      <c r="H30" s="6" t="n">
        <v>11</v>
      </c>
      <c r="I30" s="6" t="n">
        <v>5</v>
      </c>
      <c r="J30" s="9" t="n">
        <v>1600</v>
      </c>
      <c r="K30" s="6" t="n">
        <v>444</v>
      </c>
      <c r="L30" s="6" t="s">
        <v>623</v>
      </c>
      <c r="M30" s="6" t="n">
        <v>1</v>
      </c>
      <c r="N30" s="9" t="n">
        <v>358</v>
      </c>
      <c r="O30" s="9" t="n">
        <v>148</v>
      </c>
      <c r="P30" s="16" t="n">
        <v>0.32</v>
      </c>
      <c r="Q30" s="6"/>
      <c r="R30" s="6" t="s">
        <v>624</v>
      </c>
      <c r="S30" s="17" t="n">
        <v>3</v>
      </c>
      <c r="T30" s="12" t="s">
        <v>625</v>
      </c>
    </row>
    <row r="31" customFormat="false" ht="15" hidden="false" customHeight="true" outlineLevel="0" collapsed="false">
      <c r="A31" s="6" t="n">
        <v>2020</v>
      </c>
      <c r="B31" s="6" t="n">
        <v>30</v>
      </c>
      <c r="C31" s="7" t="s">
        <v>626</v>
      </c>
      <c r="D31" s="7" t="s">
        <v>627</v>
      </c>
      <c r="E31" s="7" t="s">
        <v>125</v>
      </c>
      <c r="F31" s="7" t="s">
        <v>27</v>
      </c>
      <c r="G31" s="6" t="n">
        <v>2</v>
      </c>
      <c r="H31" s="6" t="n">
        <v>15</v>
      </c>
      <c r="I31" s="6" t="n">
        <v>8</v>
      </c>
      <c r="J31" s="9" t="n">
        <v>1800</v>
      </c>
      <c r="K31" s="6" t="n">
        <v>460</v>
      </c>
      <c r="L31" s="6" t="s">
        <v>538</v>
      </c>
      <c r="M31" s="6" t="n">
        <v>0</v>
      </c>
      <c r="N31" s="9" t="n">
        <v>0</v>
      </c>
      <c r="O31" s="9" t="n">
        <v>0</v>
      </c>
      <c r="P31" s="16" t="n">
        <v>0</v>
      </c>
      <c r="Q31" s="6"/>
      <c r="R31" s="6" t="s">
        <v>508</v>
      </c>
      <c r="S31" s="17" t="n">
        <v>3</v>
      </c>
      <c r="T31" s="11" t="s">
        <v>628</v>
      </c>
    </row>
    <row r="32" customFormat="false" ht="15" hidden="false" customHeight="true" outlineLevel="0" collapsed="false">
      <c r="A32" s="6" t="n">
        <v>2020</v>
      </c>
      <c r="B32" s="6" t="n">
        <v>31</v>
      </c>
      <c r="C32" s="7" t="s">
        <v>629</v>
      </c>
      <c r="D32" s="7" t="s">
        <v>630</v>
      </c>
      <c r="E32" s="7" t="s">
        <v>159</v>
      </c>
      <c r="F32" s="7" t="s">
        <v>27</v>
      </c>
      <c r="G32" s="6" t="n">
        <v>4</v>
      </c>
      <c r="H32" s="6" t="n">
        <v>11</v>
      </c>
      <c r="I32" s="6" t="n">
        <v>4</v>
      </c>
      <c r="J32" s="9" t="n">
        <v>3000</v>
      </c>
      <c r="K32" s="6" t="n">
        <v>449</v>
      </c>
      <c r="L32" s="6" t="s">
        <v>631</v>
      </c>
      <c r="M32" s="6" t="n">
        <v>3</v>
      </c>
      <c r="N32" s="9" t="n">
        <v>0</v>
      </c>
      <c r="O32" s="9" t="n">
        <v>148</v>
      </c>
      <c r="P32" s="16" t="n">
        <v>0.05</v>
      </c>
      <c r="Q32" s="6"/>
      <c r="R32" s="6" t="s">
        <v>632</v>
      </c>
      <c r="S32" s="17" t="n">
        <v>6</v>
      </c>
      <c r="T32" s="11" t="s">
        <v>633</v>
      </c>
    </row>
    <row r="33" customFormat="false" ht="15" hidden="false" customHeight="true" outlineLevel="0" collapsed="false">
      <c r="A33" s="6" t="n">
        <v>2020</v>
      </c>
      <c r="B33" s="6" t="n">
        <v>32</v>
      </c>
      <c r="C33" s="7" t="s">
        <v>634</v>
      </c>
      <c r="D33" s="7" t="s">
        <v>635</v>
      </c>
      <c r="E33" s="7" t="s">
        <v>159</v>
      </c>
      <c r="F33" s="7" t="s">
        <v>37</v>
      </c>
      <c r="G33" s="6" t="n">
        <v>4</v>
      </c>
      <c r="H33" s="6" t="n">
        <v>13</v>
      </c>
      <c r="I33" s="6" t="n">
        <v>5</v>
      </c>
      <c r="J33" s="9" t="n">
        <v>2000</v>
      </c>
      <c r="K33" s="6" t="n">
        <v>454</v>
      </c>
      <c r="L33" s="6" t="s">
        <v>636</v>
      </c>
      <c r="M33" s="6" t="n">
        <v>2</v>
      </c>
      <c r="N33" s="9" t="n">
        <v>485</v>
      </c>
      <c r="O33" s="9" t="n">
        <v>145</v>
      </c>
      <c r="P33" s="16" t="n">
        <v>0.32</v>
      </c>
      <c r="Q33" s="6"/>
      <c r="R33" s="7" t="s">
        <v>637</v>
      </c>
      <c r="S33" s="17" t="n">
        <v>3</v>
      </c>
      <c r="T33" s="12" t="s">
        <v>638</v>
      </c>
    </row>
    <row r="34" customFormat="false" ht="15" hidden="false" customHeight="true" outlineLevel="0" collapsed="false">
      <c r="A34" s="6" t="n">
        <v>2020</v>
      </c>
      <c r="B34" s="6" t="n">
        <v>33</v>
      </c>
      <c r="C34" s="7" t="s">
        <v>639</v>
      </c>
      <c r="D34" s="7" t="s">
        <v>640</v>
      </c>
      <c r="E34" s="7" t="s">
        <v>641</v>
      </c>
      <c r="F34" s="7" t="s">
        <v>27</v>
      </c>
      <c r="G34" s="6" t="n">
        <v>1</v>
      </c>
      <c r="H34" s="6" t="n">
        <v>7</v>
      </c>
      <c r="I34" s="6" t="n">
        <v>1</v>
      </c>
      <c r="J34" s="9" t="n">
        <v>1800</v>
      </c>
      <c r="K34" s="6" t="n">
        <v>486</v>
      </c>
      <c r="L34" s="6" t="s">
        <v>642</v>
      </c>
      <c r="M34" s="6" t="n">
        <v>3</v>
      </c>
      <c r="N34" s="9" t="n">
        <v>2554</v>
      </c>
      <c r="O34" s="9" t="n">
        <v>0</v>
      </c>
      <c r="P34" s="16" t="n">
        <v>1.42</v>
      </c>
      <c r="Q34" s="6"/>
      <c r="R34" s="6" t="s">
        <v>643</v>
      </c>
      <c r="S34" s="17" t="n">
        <v>3</v>
      </c>
      <c r="T34" s="11" t="s">
        <v>644</v>
      </c>
    </row>
    <row r="35" customFormat="false" ht="15" hidden="false" customHeight="true" outlineLevel="0" collapsed="false">
      <c r="A35" s="6" t="n">
        <v>2020</v>
      </c>
      <c r="B35" s="6" t="n">
        <v>34</v>
      </c>
      <c r="C35" s="7" t="s">
        <v>645</v>
      </c>
      <c r="D35" s="7" t="s">
        <v>646</v>
      </c>
      <c r="E35" s="7" t="s">
        <v>641</v>
      </c>
      <c r="F35" s="7" t="s">
        <v>27</v>
      </c>
      <c r="G35" s="6" t="n">
        <v>1</v>
      </c>
      <c r="H35" s="6" t="n">
        <v>7</v>
      </c>
      <c r="I35" s="6" t="n">
        <v>1</v>
      </c>
      <c r="J35" s="9" t="n">
        <v>1800</v>
      </c>
      <c r="K35" s="6" t="n">
        <v>462</v>
      </c>
      <c r="L35" s="6" t="s">
        <v>647</v>
      </c>
      <c r="M35" s="6" t="n">
        <v>1</v>
      </c>
      <c r="N35" s="9" t="n">
        <v>52</v>
      </c>
      <c r="O35" s="9" t="n">
        <v>155</v>
      </c>
      <c r="P35" s="16" t="n">
        <v>0.12</v>
      </c>
      <c r="Q35" s="6"/>
      <c r="R35" s="6" t="s">
        <v>648</v>
      </c>
      <c r="S35" s="17" t="n">
        <v>2</v>
      </c>
      <c r="T35" s="11" t="s">
        <v>649</v>
      </c>
    </row>
    <row r="36" customFormat="false" ht="15" hidden="false" customHeight="true" outlineLevel="0" collapsed="false">
      <c r="A36" s="6" t="n">
        <v>2020</v>
      </c>
      <c r="B36" s="6" t="n">
        <v>35</v>
      </c>
      <c r="C36" s="7" t="s">
        <v>650</v>
      </c>
      <c r="D36" s="7" t="s">
        <v>651</v>
      </c>
      <c r="E36" s="7" t="s">
        <v>652</v>
      </c>
      <c r="F36" s="7" t="s">
        <v>27</v>
      </c>
      <c r="G36" s="6" t="n">
        <v>5</v>
      </c>
      <c r="H36" s="6" t="n">
        <v>10</v>
      </c>
      <c r="I36" s="6" t="n">
        <v>5</v>
      </c>
      <c r="J36" s="9" t="n">
        <v>1600</v>
      </c>
      <c r="K36" s="6" t="n">
        <v>439</v>
      </c>
      <c r="L36" s="6" t="s">
        <v>653</v>
      </c>
      <c r="M36" s="6" t="n">
        <v>4</v>
      </c>
      <c r="N36" s="9" t="n">
        <v>3190</v>
      </c>
      <c r="O36" s="9" t="n">
        <v>843</v>
      </c>
      <c r="P36" s="16" t="n">
        <v>2.52</v>
      </c>
      <c r="Q36" s="6"/>
      <c r="R36" s="6" t="s">
        <v>654</v>
      </c>
      <c r="S36" s="17" t="n">
        <v>4</v>
      </c>
      <c r="T36" s="11" t="s">
        <v>655</v>
      </c>
    </row>
    <row r="37" customFormat="false" ht="15" hidden="false" customHeight="true" outlineLevel="0" collapsed="false">
      <c r="A37" s="6" t="n">
        <v>2020</v>
      </c>
      <c r="B37" s="6" t="n">
        <v>36</v>
      </c>
      <c r="C37" s="7" t="s">
        <v>656</v>
      </c>
      <c r="D37" s="7" t="s">
        <v>657</v>
      </c>
      <c r="E37" s="7" t="s">
        <v>652</v>
      </c>
      <c r="F37" s="7" t="s">
        <v>37</v>
      </c>
      <c r="G37" s="6" t="n">
        <v>3</v>
      </c>
      <c r="H37" s="6" t="n">
        <v>8</v>
      </c>
      <c r="I37" s="6" t="n">
        <v>4</v>
      </c>
      <c r="J37" s="9" t="n">
        <v>1200</v>
      </c>
      <c r="K37" s="6" t="n">
        <v>429</v>
      </c>
      <c r="L37" s="6" t="s">
        <v>658</v>
      </c>
      <c r="M37" s="6" t="n">
        <v>5</v>
      </c>
      <c r="N37" s="9" t="n">
        <v>0</v>
      </c>
      <c r="O37" s="9" t="n">
        <v>290</v>
      </c>
      <c r="P37" s="16" t="n">
        <v>0.24</v>
      </c>
      <c r="Q37" s="6"/>
      <c r="R37" s="6" t="s">
        <v>659</v>
      </c>
      <c r="S37" s="17" t="n">
        <v>3</v>
      </c>
      <c r="T37" s="12" t="s">
        <v>225</v>
      </c>
    </row>
    <row r="38" customFormat="false" ht="15" hidden="false" customHeight="true" outlineLevel="0" collapsed="false">
      <c r="A38" s="6" t="n">
        <v>2020</v>
      </c>
      <c r="B38" s="6" t="n">
        <v>37</v>
      </c>
      <c r="C38" s="7" t="s">
        <v>660</v>
      </c>
      <c r="D38" s="7" t="s">
        <v>661</v>
      </c>
      <c r="E38" s="7" t="s">
        <v>340</v>
      </c>
      <c r="F38" s="7" t="s">
        <v>37</v>
      </c>
      <c r="G38" s="6" t="n">
        <v>2</v>
      </c>
      <c r="H38" s="6" t="n">
        <v>8</v>
      </c>
      <c r="I38" s="6" t="n">
        <v>3</v>
      </c>
      <c r="J38" s="9" t="n">
        <v>2000</v>
      </c>
      <c r="K38" s="6" t="n">
        <v>453</v>
      </c>
      <c r="L38" s="6" t="s">
        <v>662</v>
      </c>
      <c r="M38" s="6" t="n">
        <v>1</v>
      </c>
      <c r="N38" s="9" t="n">
        <v>801</v>
      </c>
      <c r="O38" s="9" t="n">
        <v>0</v>
      </c>
      <c r="P38" s="16" t="n">
        <v>0.4</v>
      </c>
      <c r="Q38" s="6"/>
      <c r="R38" s="6" t="s">
        <v>518</v>
      </c>
      <c r="S38" s="17" t="n">
        <v>3</v>
      </c>
      <c r="T38" s="12" t="s">
        <v>663</v>
      </c>
    </row>
    <row r="39" customFormat="false" ht="15" hidden="false" customHeight="true" outlineLevel="0" collapsed="false">
      <c r="A39" s="6" t="n">
        <v>2020</v>
      </c>
      <c r="B39" s="6" t="n">
        <v>38</v>
      </c>
      <c r="C39" s="7" t="s">
        <v>664</v>
      </c>
      <c r="D39" s="7" t="s">
        <v>665</v>
      </c>
      <c r="E39" s="7" t="s">
        <v>666</v>
      </c>
      <c r="F39" s="7" t="s">
        <v>27</v>
      </c>
      <c r="G39" s="6" t="n">
        <v>4</v>
      </c>
      <c r="H39" s="6" t="n">
        <v>13</v>
      </c>
      <c r="I39" s="6" t="n">
        <v>8</v>
      </c>
      <c r="J39" s="9" t="n">
        <v>2400</v>
      </c>
      <c r="K39" s="6" t="n">
        <v>410</v>
      </c>
      <c r="L39" s="6" t="s">
        <v>667</v>
      </c>
      <c r="M39" s="6" t="n">
        <v>3</v>
      </c>
      <c r="N39" s="9" t="n">
        <v>5073</v>
      </c>
      <c r="O39" s="9" t="n">
        <v>427</v>
      </c>
      <c r="P39" s="16" t="n">
        <v>2.29</v>
      </c>
      <c r="Q39" s="6"/>
      <c r="R39" s="6" t="s">
        <v>668</v>
      </c>
      <c r="S39" s="17" t="n">
        <v>3</v>
      </c>
      <c r="T39" s="11" t="s">
        <v>669</v>
      </c>
    </row>
    <row r="40" customFormat="false" ht="15" hidden="false" customHeight="true" outlineLevel="0" collapsed="false">
      <c r="A40" s="6" t="n">
        <v>2020</v>
      </c>
      <c r="B40" s="6" t="n">
        <v>39</v>
      </c>
      <c r="C40" s="7" t="s">
        <v>670</v>
      </c>
      <c r="D40" s="7" t="s">
        <v>671</v>
      </c>
      <c r="E40" s="7" t="s">
        <v>672</v>
      </c>
      <c r="F40" s="7" t="s">
        <v>37</v>
      </c>
      <c r="G40" s="6" t="n">
        <v>2</v>
      </c>
      <c r="H40" s="6" t="n">
        <v>8</v>
      </c>
      <c r="I40" s="6" t="n">
        <v>3</v>
      </c>
      <c r="J40" s="9" t="n">
        <v>3000</v>
      </c>
      <c r="K40" s="6" t="n">
        <v>414</v>
      </c>
      <c r="L40" s="6" t="s">
        <v>599</v>
      </c>
      <c r="M40" s="6" t="n">
        <v>0</v>
      </c>
      <c r="N40" s="9" t="n">
        <v>0</v>
      </c>
      <c r="O40" s="9" t="n">
        <v>0</v>
      </c>
      <c r="P40" s="16" t="n">
        <v>0</v>
      </c>
      <c r="Q40" s="6"/>
      <c r="R40" s="6" t="s">
        <v>508</v>
      </c>
      <c r="S40" s="17" t="n">
        <v>3</v>
      </c>
      <c r="T40" s="12" t="s">
        <v>673</v>
      </c>
    </row>
    <row r="41" customFormat="false" ht="15" hidden="false" customHeight="true" outlineLevel="0" collapsed="false">
      <c r="A41" s="6" t="n">
        <v>2020</v>
      </c>
      <c r="B41" s="6" t="n">
        <v>40</v>
      </c>
      <c r="C41" s="7" t="s">
        <v>674</v>
      </c>
      <c r="D41" s="7" t="s">
        <v>675</v>
      </c>
      <c r="E41" s="7" t="s">
        <v>676</v>
      </c>
      <c r="F41" s="7" t="s">
        <v>37</v>
      </c>
      <c r="G41" s="6" t="n">
        <v>4</v>
      </c>
      <c r="H41" s="6" t="n">
        <v>12</v>
      </c>
      <c r="I41" s="6" t="n">
        <v>7</v>
      </c>
      <c r="J41" s="9" t="n">
        <v>1400</v>
      </c>
      <c r="K41" s="6" t="n">
        <v>413</v>
      </c>
      <c r="L41" s="6" t="s">
        <v>677</v>
      </c>
      <c r="M41" s="6" t="n">
        <v>1</v>
      </c>
      <c r="N41" s="9" t="n">
        <v>502</v>
      </c>
      <c r="O41" s="9" t="n">
        <v>319</v>
      </c>
      <c r="P41" s="16" t="n">
        <v>0.59</v>
      </c>
      <c r="Q41" s="6"/>
      <c r="R41" s="7" t="s">
        <v>678</v>
      </c>
      <c r="S41" s="17" t="n">
        <v>2</v>
      </c>
      <c r="T41" s="12" t="s">
        <v>188</v>
      </c>
    </row>
    <row r="42" customFormat="false" ht="15" hidden="false" customHeight="true" outlineLevel="0" collapsed="false">
      <c r="A42" s="6" t="n">
        <v>2020</v>
      </c>
      <c r="B42" s="6" t="n">
        <v>41</v>
      </c>
      <c r="C42" s="7" t="s">
        <v>679</v>
      </c>
      <c r="D42" s="7" t="s">
        <v>680</v>
      </c>
      <c r="E42" s="7" t="s">
        <v>681</v>
      </c>
      <c r="F42" s="7" t="s">
        <v>37</v>
      </c>
      <c r="G42" s="6" t="n">
        <v>3</v>
      </c>
      <c r="H42" s="6" t="n">
        <v>7</v>
      </c>
      <c r="I42" s="6" t="n">
        <v>1</v>
      </c>
      <c r="J42" s="9" t="n">
        <v>1600</v>
      </c>
      <c r="K42" s="6" t="n">
        <v>440</v>
      </c>
      <c r="L42" s="6" t="s">
        <v>682</v>
      </c>
      <c r="M42" s="6" t="n">
        <v>3</v>
      </c>
      <c r="N42" s="9" t="n">
        <v>288</v>
      </c>
      <c r="O42" s="9" t="n">
        <v>348</v>
      </c>
      <c r="P42" s="16" t="n">
        <v>0.4</v>
      </c>
      <c r="Q42" s="6"/>
      <c r="R42" s="6" t="s">
        <v>683</v>
      </c>
      <c r="S42" s="17" t="n">
        <v>3</v>
      </c>
      <c r="T42" s="12" t="s">
        <v>684</v>
      </c>
    </row>
    <row r="43" customFormat="false" ht="15" hidden="false" customHeight="true" outlineLevel="0" collapsed="false">
      <c r="A43" s="6" t="n">
        <v>2020</v>
      </c>
      <c r="B43" s="6" t="n">
        <v>42</v>
      </c>
      <c r="C43" s="7" t="s">
        <v>685</v>
      </c>
      <c r="D43" s="7" t="s">
        <v>686</v>
      </c>
      <c r="E43" s="7" t="s">
        <v>172</v>
      </c>
      <c r="F43" s="7" t="s">
        <v>37</v>
      </c>
      <c r="G43" s="6" t="n">
        <v>2</v>
      </c>
      <c r="H43" s="6" t="n">
        <v>12</v>
      </c>
      <c r="I43" s="6" t="n">
        <v>4</v>
      </c>
      <c r="J43" s="9" t="n">
        <v>1600</v>
      </c>
      <c r="K43" s="6" t="n">
        <v>512</v>
      </c>
      <c r="L43" s="6" t="s">
        <v>538</v>
      </c>
      <c r="M43" s="6" t="n">
        <v>0</v>
      </c>
      <c r="N43" s="9" t="n">
        <v>0</v>
      </c>
      <c r="O43" s="9" t="n">
        <v>0</v>
      </c>
      <c r="P43" s="16" t="n">
        <v>0</v>
      </c>
      <c r="Q43" s="6"/>
      <c r="R43" s="6" t="s">
        <v>508</v>
      </c>
      <c r="S43" s="17" t="n">
        <v>2</v>
      </c>
      <c r="T43" s="12" t="s">
        <v>687</v>
      </c>
    </row>
    <row r="44" customFormat="false" ht="15" hidden="false" customHeight="true" outlineLevel="0" collapsed="false">
      <c r="A44" s="6" t="n">
        <v>2020</v>
      </c>
      <c r="B44" s="6" t="n">
        <v>43</v>
      </c>
      <c r="C44" s="7" t="s">
        <v>688</v>
      </c>
      <c r="D44" s="7" t="s">
        <v>689</v>
      </c>
      <c r="E44" s="7" t="s">
        <v>690</v>
      </c>
      <c r="F44" s="7" t="s">
        <v>37</v>
      </c>
      <c r="G44" s="6" t="n">
        <v>5</v>
      </c>
      <c r="H44" s="6" t="n">
        <v>15</v>
      </c>
      <c r="I44" s="6" t="n">
        <v>10</v>
      </c>
      <c r="J44" s="9" t="n">
        <v>1400</v>
      </c>
      <c r="K44" s="6" t="n">
        <v>420</v>
      </c>
      <c r="L44" s="6" t="s">
        <v>691</v>
      </c>
      <c r="M44" s="6" t="n">
        <v>0</v>
      </c>
      <c r="N44" s="9" t="n">
        <v>0</v>
      </c>
      <c r="O44" s="9" t="n">
        <v>0</v>
      </c>
      <c r="P44" s="16" t="n">
        <v>0</v>
      </c>
      <c r="Q44" s="6"/>
      <c r="R44" s="6" t="s">
        <v>508</v>
      </c>
      <c r="S44" s="17" t="n">
        <v>1</v>
      </c>
      <c r="T44" s="12" t="s">
        <v>361</v>
      </c>
    </row>
    <row r="45" customFormat="false" ht="15" hidden="false" customHeight="true" outlineLevel="0" collapsed="false">
      <c r="A45" s="6" t="n">
        <v>2020</v>
      </c>
      <c r="B45" s="6" t="n">
        <v>44</v>
      </c>
      <c r="C45" s="7" t="s">
        <v>692</v>
      </c>
      <c r="D45" s="7" t="s">
        <v>693</v>
      </c>
      <c r="E45" s="7" t="s">
        <v>206</v>
      </c>
      <c r="F45" s="7" t="s">
        <v>27</v>
      </c>
      <c r="G45" s="6" t="n">
        <v>2</v>
      </c>
      <c r="H45" s="6" t="n">
        <v>8</v>
      </c>
      <c r="I45" s="6" t="n">
        <v>2</v>
      </c>
      <c r="J45" s="9" t="n">
        <v>3000</v>
      </c>
      <c r="K45" s="6" t="n">
        <v>497</v>
      </c>
      <c r="L45" s="6" t="s">
        <v>694</v>
      </c>
      <c r="M45" s="6" t="n">
        <v>3</v>
      </c>
      <c r="N45" s="9" t="n">
        <v>5656</v>
      </c>
      <c r="O45" s="9" t="n">
        <v>0</v>
      </c>
      <c r="P45" s="16" t="n">
        <v>1.89</v>
      </c>
      <c r="Q45" s="6"/>
      <c r="R45" s="6" t="s">
        <v>695</v>
      </c>
      <c r="S45" s="17" t="n">
        <v>5</v>
      </c>
      <c r="T45" s="11" t="s">
        <v>696</v>
      </c>
    </row>
    <row r="46" customFormat="false" ht="15" hidden="false" customHeight="true" outlineLevel="0" collapsed="false">
      <c r="A46" s="6" t="n">
        <v>2020</v>
      </c>
      <c r="B46" s="6" t="n">
        <v>45</v>
      </c>
      <c r="C46" s="7" t="s">
        <v>697</v>
      </c>
      <c r="D46" s="7" t="s">
        <v>698</v>
      </c>
      <c r="E46" s="6" t="s">
        <v>699</v>
      </c>
      <c r="F46" s="7" t="s">
        <v>37</v>
      </c>
      <c r="G46" s="6" t="n">
        <v>5</v>
      </c>
      <c r="H46" s="6" t="n">
        <v>10</v>
      </c>
      <c r="I46" s="6" t="n">
        <v>5</v>
      </c>
      <c r="J46" s="9" t="n">
        <v>2400</v>
      </c>
      <c r="K46" s="6" t="n">
        <v>410</v>
      </c>
      <c r="L46" s="6" t="s">
        <v>700</v>
      </c>
      <c r="M46" s="6" t="n">
        <v>3</v>
      </c>
      <c r="N46" s="9" t="n">
        <v>1394</v>
      </c>
      <c r="O46" s="9" t="n">
        <v>65</v>
      </c>
      <c r="P46" s="16" t="n">
        <v>0.61</v>
      </c>
      <c r="Q46" s="6"/>
      <c r="R46" s="6" t="s">
        <v>701</v>
      </c>
      <c r="S46" s="17" t="n">
        <v>2</v>
      </c>
      <c r="T46" s="12" t="s">
        <v>702</v>
      </c>
    </row>
    <row r="47" customFormat="false" ht="15" hidden="false" customHeight="true" outlineLevel="0" collapsed="false">
      <c r="A47" s="6" t="n">
        <v>2020</v>
      </c>
      <c r="B47" s="6" t="n">
        <v>46</v>
      </c>
      <c r="C47" s="7" t="s">
        <v>703</v>
      </c>
      <c r="D47" s="7" t="s">
        <v>704</v>
      </c>
      <c r="E47" s="7" t="s">
        <v>54</v>
      </c>
      <c r="F47" s="7" t="s">
        <v>27</v>
      </c>
      <c r="G47" s="6" t="n">
        <v>1</v>
      </c>
      <c r="H47" s="6" t="n">
        <v>10</v>
      </c>
      <c r="I47" s="6" t="n">
        <v>5</v>
      </c>
      <c r="J47" s="9" t="n">
        <v>10000</v>
      </c>
      <c r="K47" s="6" t="n">
        <v>447</v>
      </c>
      <c r="L47" s="6" t="s">
        <v>705</v>
      </c>
      <c r="M47" s="6" t="n">
        <v>3</v>
      </c>
      <c r="N47" s="9" t="n">
        <v>14431</v>
      </c>
      <c r="O47" s="9" t="n">
        <v>0</v>
      </c>
      <c r="P47" s="16" t="n">
        <v>1.44</v>
      </c>
      <c r="Q47" s="6" t="s">
        <v>32</v>
      </c>
      <c r="R47" s="6" t="s">
        <v>706</v>
      </c>
      <c r="S47" s="17" t="n">
        <v>4</v>
      </c>
      <c r="T47" s="11" t="s">
        <v>707</v>
      </c>
    </row>
    <row r="48" customFormat="false" ht="15" hidden="false" customHeight="true" outlineLevel="0" collapsed="false">
      <c r="A48" s="6" t="n">
        <v>2020</v>
      </c>
      <c r="B48" s="6" t="n">
        <v>47</v>
      </c>
      <c r="C48" s="7" t="s">
        <v>708</v>
      </c>
      <c r="D48" s="7" t="s">
        <v>709</v>
      </c>
      <c r="E48" s="7" t="s">
        <v>54</v>
      </c>
      <c r="F48" s="7" t="s">
        <v>37</v>
      </c>
      <c r="G48" s="6" t="n">
        <v>1</v>
      </c>
      <c r="H48" s="6" t="n">
        <v>7</v>
      </c>
      <c r="I48" s="6" t="n">
        <v>2</v>
      </c>
      <c r="J48" s="9" t="n">
        <v>6000</v>
      </c>
      <c r="K48" s="6" t="n">
        <v>401</v>
      </c>
      <c r="L48" s="6" t="s">
        <v>538</v>
      </c>
      <c r="M48" s="6" t="n">
        <v>0</v>
      </c>
      <c r="N48" s="9" t="n">
        <v>0</v>
      </c>
      <c r="O48" s="9" t="n">
        <v>0</v>
      </c>
      <c r="P48" s="16" t="n">
        <v>0</v>
      </c>
      <c r="Q48" s="6"/>
      <c r="R48" s="6" t="s">
        <v>508</v>
      </c>
      <c r="S48" s="17" t="n">
        <v>1</v>
      </c>
      <c r="T48" s="12" t="s">
        <v>361</v>
      </c>
    </row>
    <row r="49" customFormat="false" ht="15" hidden="false" customHeight="true" outlineLevel="0" collapsed="false">
      <c r="A49" s="6" t="n">
        <v>2020</v>
      </c>
      <c r="B49" s="6" t="n">
        <v>48</v>
      </c>
      <c r="C49" s="7" t="s">
        <v>710</v>
      </c>
      <c r="D49" s="7" t="s">
        <v>711</v>
      </c>
      <c r="E49" s="7" t="s">
        <v>82</v>
      </c>
      <c r="F49" s="7" t="s">
        <v>27</v>
      </c>
      <c r="G49" s="6" t="n">
        <v>2</v>
      </c>
      <c r="H49" s="6" t="n">
        <v>6</v>
      </c>
      <c r="I49" s="6" t="n">
        <v>2</v>
      </c>
      <c r="J49" s="9" t="n">
        <v>10000</v>
      </c>
      <c r="K49" s="6" t="n">
        <v>406</v>
      </c>
      <c r="L49" s="6" t="s">
        <v>538</v>
      </c>
      <c r="M49" s="6" t="n">
        <v>0</v>
      </c>
      <c r="N49" s="9" t="n">
        <v>0</v>
      </c>
      <c r="O49" s="9" t="n">
        <v>0</v>
      </c>
      <c r="P49" s="16" t="n">
        <v>0</v>
      </c>
      <c r="Q49" s="6"/>
      <c r="R49" s="6" t="s">
        <v>508</v>
      </c>
      <c r="S49" s="17" t="n">
        <v>2</v>
      </c>
      <c r="T49" s="11" t="s">
        <v>222</v>
      </c>
    </row>
    <row r="50" customFormat="false" ht="15" hidden="false" customHeight="true" outlineLevel="0" collapsed="false">
      <c r="A50" s="6" t="n">
        <v>2020</v>
      </c>
      <c r="B50" s="6" t="n">
        <v>49</v>
      </c>
      <c r="C50" s="7" t="s">
        <v>712</v>
      </c>
      <c r="D50" s="7" t="s">
        <v>713</v>
      </c>
      <c r="E50" s="7" t="s">
        <v>82</v>
      </c>
      <c r="F50" s="7" t="s">
        <v>37</v>
      </c>
      <c r="G50" s="6" t="n">
        <v>4</v>
      </c>
      <c r="H50" s="6" t="n">
        <v>9</v>
      </c>
      <c r="I50" s="6" t="n">
        <v>3</v>
      </c>
      <c r="J50" s="9" t="n">
        <v>4000</v>
      </c>
      <c r="K50" s="6" t="n">
        <v>438</v>
      </c>
      <c r="L50" s="6" t="s">
        <v>714</v>
      </c>
      <c r="M50" s="6" t="n">
        <v>2</v>
      </c>
      <c r="N50" s="9" t="n">
        <v>2407</v>
      </c>
      <c r="O50" s="9" t="n">
        <v>0</v>
      </c>
      <c r="P50" s="16" t="n">
        <v>0.6</v>
      </c>
      <c r="Q50" s="6"/>
      <c r="R50" s="6" t="s">
        <v>715</v>
      </c>
      <c r="S50" s="17" t="n">
        <v>5</v>
      </c>
      <c r="T50" s="12" t="s">
        <v>716</v>
      </c>
    </row>
    <row r="51" customFormat="false" ht="15" hidden="false" customHeight="true" outlineLevel="0" collapsed="false">
      <c r="A51" s="6" t="n">
        <v>2020</v>
      </c>
      <c r="B51" s="6" t="n">
        <v>50</v>
      </c>
      <c r="C51" s="7" t="s">
        <v>717</v>
      </c>
      <c r="D51" s="7" t="s">
        <v>718</v>
      </c>
      <c r="E51" s="7" t="s">
        <v>227</v>
      </c>
      <c r="F51" s="7" t="s">
        <v>27</v>
      </c>
      <c r="G51" s="6" t="n">
        <v>4</v>
      </c>
      <c r="H51" s="6" t="n">
        <v>17</v>
      </c>
      <c r="I51" s="6" t="n">
        <v>11</v>
      </c>
      <c r="J51" s="9" t="n">
        <v>5000</v>
      </c>
      <c r="K51" s="6" t="n">
        <v>439</v>
      </c>
      <c r="L51" s="6" t="s">
        <v>719</v>
      </c>
      <c r="M51" s="6" t="n">
        <v>4</v>
      </c>
      <c r="N51" s="9" t="n">
        <v>10586</v>
      </c>
      <c r="O51" s="9" t="n">
        <v>0</v>
      </c>
      <c r="P51" s="16" t="n">
        <v>2.12</v>
      </c>
      <c r="Q51" s="6"/>
      <c r="R51" s="6" t="s">
        <v>720</v>
      </c>
      <c r="S51" s="17" t="n">
        <v>5</v>
      </c>
      <c r="T51" s="11" t="s">
        <v>721</v>
      </c>
    </row>
    <row r="52" customFormat="false" ht="15" hidden="false" customHeight="true" outlineLevel="0" collapsed="false">
      <c r="A52" s="6" t="n">
        <v>2020</v>
      </c>
      <c r="B52" s="6" t="n">
        <v>51</v>
      </c>
      <c r="C52" s="7" t="s">
        <v>722</v>
      </c>
      <c r="D52" s="7" t="s">
        <v>723</v>
      </c>
      <c r="E52" s="7" t="s">
        <v>227</v>
      </c>
      <c r="F52" s="7" t="s">
        <v>37</v>
      </c>
      <c r="G52" s="6" t="n">
        <v>2</v>
      </c>
      <c r="H52" s="6" t="n">
        <v>8</v>
      </c>
      <c r="I52" s="6" t="n">
        <v>3</v>
      </c>
      <c r="J52" s="9" t="n">
        <v>4400</v>
      </c>
      <c r="K52" s="6" t="n">
        <v>437</v>
      </c>
      <c r="L52" s="6" t="s">
        <v>724</v>
      </c>
      <c r="M52" s="6" t="n">
        <v>1</v>
      </c>
      <c r="N52" s="9" t="n">
        <v>1097</v>
      </c>
      <c r="O52" s="9" t="n">
        <v>0</v>
      </c>
      <c r="P52" s="16" t="n">
        <v>0.25</v>
      </c>
      <c r="Q52" s="6"/>
      <c r="R52" s="6" t="s">
        <v>562</v>
      </c>
      <c r="S52" s="17" t="n">
        <v>4</v>
      </c>
      <c r="T52" s="12" t="s">
        <v>725</v>
      </c>
    </row>
    <row r="53" customFormat="false" ht="15" hidden="false" customHeight="true" outlineLevel="0" collapsed="false">
      <c r="A53" s="6" t="n">
        <v>2020</v>
      </c>
      <c r="B53" s="6" t="n">
        <v>52</v>
      </c>
      <c r="C53" s="7" t="s">
        <v>726</v>
      </c>
      <c r="D53" s="7" t="s">
        <v>727</v>
      </c>
      <c r="E53" s="7" t="s">
        <v>26</v>
      </c>
      <c r="F53" s="7" t="s">
        <v>27</v>
      </c>
      <c r="G53" s="6" t="n">
        <v>3</v>
      </c>
      <c r="H53" s="6" t="n">
        <v>14</v>
      </c>
      <c r="I53" s="6" t="n">
        <v>7</v>
      </c>
      <c r="J53" s="9" t="n">
        <v>5000</v>
      </c>
      <c r="K53" s="6" t="n">
        <v>442</v>
      </c>
      <c r="L53" s="6" t="s">
        <v>728</v>
      </c>
      <c r="M53" s="6" t="n">
        <v>7</v>
      </c>
      <c r="N53" s="9" t="n">
        <v>5740</v>
      </c>
      <c r="O53" s="9" t="n">
        <v>240</v>
      </c>
      <c r="P53" s="16" t="n">
        <v>1.2</v>
      </c>
      <c r="Q53" s="6"/>
      <c r="R53" s="6" t="s">
        <v>729</v>
      </c>
      <c r="S53" s="17" t="n">
        <v>5</v>
      </c>
      <c r="T53" s="11" t="s">
        <v>730</v>
      </c>
    </row>
    <row r="54" customFormat="false" ht="15" hidden="false" customHeight="true" outlineLevel="0" collapsed="false">
      <c r="A54" s="6" t="n">
        <v>2020</v>
      </c>
      <c r="B54" s="6" t="n">
        <v>53</v>
      </c>
      <c r="C54" s="7" t="s">
        <v>731</v>
      </c>
      <c r="D54" s="7" t="s">
        <v>732</v>
      </c>
      <c r="E54" s="7" t="s">
        <v>26</v>
      </c>
      <c r="F54" s="7" t="s">
        <v>27</v>
      </c>
      <c r="G54" s="6" t="n">
        <v>4</v>
      </c>
      <c r="H54" s="6" t="n">
        <v>10</v>
      </c>
      <c r="I54" s="6" t="n">
        <v>3</v>
      </c>
      <c r="J54" s="9" t="n">
        <v>8000</v>
      </c>
      <c r="K54" s="6" t="n">
        <v>401</v>
      </c>
      <c r="L54" s="6" t="s">
        <v>733</v>
      </c>
      <c r="M54" s="6" t="n">
        <v>6</v>
      </c>
      <c r="N54" s="9" t="n">
        <v>15177</v>
      </c>
      <c r="O54" s="9" t="n">
        <v>390</v>
      </c>
      <c r="P54" s="16" t="n">
        <v>1.95</v>
      </c>
      <c r="Q54" s="6"/>
      <c r="R54" s="6" t="s">
        <v>734</v>
      </c>
      <c r="S54" s="17" t="n">
        <v>4</v>
      </c>
      <c r="T54" s="11" t="s">
        <v>735</v>
      </c>
    </row>
    <row r="55" customFormat="false" ht="15" hidden="false" customHeight="true" outlineLevel="0" collapsed="false">
      <c r="A55" s="6" t="n">
        <v>2020</v>
      </c>
      <c r="B55" s="6" t="n">
        <v>54</v>
      </c>
      <c r="C55" s="7" t="s">
        <v>736</v>
      </c>
      <c r="D55" s="7" t="s">
        <v>737</v>
      </c>
      <c r="E55" s="7" t="s">
        <v>26</v>
      </c>
      <c r="F55" s="7" t="s">
        <v>37</v>
      </c>
      <c r="G55" s="6" t="n">
        <v>2</v>
      </c>
      <c r="H55" s="6" t="n">
        <v>19</v>
      </c>
      <c r="I55" s="6" t="n">
        <v>11</v>
      </c>
      <c r="J55" s="9" t="n">
        <v>3400</v>
      </c>
      <c r="K55" s="6" t="n">
        <v>468</v>
      </c>
      <c r="L55" s="6" t="s">
        <v>738</v>
      </c>
      <c r="M55" s="6" t="n">
        <v>1</v>
      </c>
      <c r="N55" s="9" t="n">
        <v>0</v>
      </c>
      <c r="O55" s="9" t="n">
        <v>55</v>
      </c>
      <c r="P55" s="16" t="n">
        <v>0.02</v>
      </c>
      <c r="Q55" s="6"/>
      <c r="R55" s="6" t="s">
        <v>739</v>
      </c>
      <c r="S55" s="17" t="n">
        <v>3</v>
      </c>
      <c r="T55" s="12" t="s">
        <v>740</v>
      </c>
    </row>
    <row r="56" customFormat="false" ht="15" hidden="false" customHeight="true" outlineLevel="0" collapsed="false">
      <c r="A56" s="6" t="n">
        <v>2020</v>
      </c>
      <c r="B56" s="6" t="n">
        <v>55</v>
      </c>
      <c r="C56" s="7" t="s">
        <v>741</v>
      </c>
      <c r="D56" s="7" t="s">
        <v>742</v>
      </c>
      <c r="E56" s="7" t="s">
        <v>26</v>
      </c>
      <c r="F56" s="7" t="s">
        <v>37</v>
      </c>
      <c r="G56" s="6" t="n">
        <v>4</v>
      </c>
      <c r="H56" s="6" t="n">
        <v>16</v>
      </c>
      <c r="I56" s="6" t="n">
        <v>9</v>
      </c>
      <c r="J56" s="9" t="n">
        <v>5600</v>
      </c>
      <c r="K56" s="6" t="n">
        <v>466</v>
      </c>
      <c r="L56" s="6" t="s">
        <v>743</v>
      </c>
      <c r="M56" s="6" t="n">
        <v>3</v>
      </c>
      <c r="N56" s="9" t="n">
        <v>3534</v>
      </c>
      <c r="O56" s="9" t="n">
        <v>0</v>
      </c>
      <c r="P56" s="16" t="n">
        <v>0.63</v>
      </c>
      <c r="Q56" s="6"/>
      <c r="R56" s="6" t="s">
        <v>744</v>
      </c>
      <c r="S56" s="17" t="n">
        <v>4</v>
      </c>
      <c r="T56" s="12" t="s">
        <v>745</v>
      </c>
    </row>
    <row r="57" customFormat="false" ht="15" hidden="false" customHeight="true" outlineLevel="0" collapsed="false">
      <c r="A57" s="6" t="n">
        <v>2020</v>
      </c>
      <c r="B57" s="6" t="n">
        <v>56</v>
      </c>
      <c r="C57" s="7" t="s">
        <v>746</v>
      </c>
      <c r="D57" s="7" t="s">
        <v>747</v>
      </c>
      <c r="E57" s="7" t="s">
        <v>299</v>
      </c>
      <c r="F57" s="7" t="s">
        <v>27</v>
      </c>
      <c r="G57" s="6" t="n">
        <v>2</v>
      </c>
      <c r="H57" s="6" t="n">
        <v>6</v>
      </c>
      <c r="I57" s="6" t="n">
        <v>1</v>
      </c>
      <c r="J57" s="9" t="n">
        <v>4400</v>
      </c>
      <c r="K57" s="6" t="n">
        <v>451</v>
      </c>
      <c r="L57" s="6" t="s">
        <v>691</v>
      </c>
      <c r="M57" s="6" t="n">
        <v>0</v>
      </c>
      <c r="N57" s="9" t="n">
        <v>0</v>
      </c>
      <c r="O57" s="9" t="n">
        <v>0</v>
      </c>
      <c r="P57" s="16" t="n">
        <v>0</v>
      </c>
      <c r="Q57" s="6"/>
      <c r="R57" s="6" t="s">
        <v>508</v>
      </c>
      <c r="S57" s="17" t="n">
        <v>4</v>
      </c>
      <c r="T57" s="11" t="s">
        <v>748</v>
      </c>
    </row>
    <row r="58" customFormat="false" ht="15" hidden="false" customHeight="true" outlineLevel="0" collapsed="false">
      <c r="A58" s="6" t="n">
        <v>2020</v>
      </c>
      <c r="B58" s="6" t="n">
        <v>57</v>
      </c>
      <c r="C58" s="7" t="s">
        <v>749</v>
      </c>
      <c r="D58" s="7" t="s">
        <v>750</v>
      </c>
      <c r="E58" s="7" t="s">
        <v>299</v>
      </c>
      <c r="F58" s="7" t="s">
        <v>37</v>
      </c>
      <c r="G58" s="6" t="n">
        <v>2</v>
      </c>
      <c r="H58" s="6" t="n">
        <v>12</v>
      </c>
      <c r="I58" s="6" t="n">
        <v>6</v>
      </c>
      <c r="J58" s="9" t="n">
        <v>2800</v>
      </c>
      <c r="K58" s="6" t="n">
        <v>494</v>
      </c>
      <c r="L58" s="6" t="s">
        <v>611</v>
      </c>
      <c r="M58" s="6" t="n">
        <v>0</v>
      </c>
      <c r="N58" s="9" t="n">
        <v>0</v>
      </c>
      <c r="O58" s="9" t="n">
        <v>0</v>
      </c>
      <c r="P58" s="16" t="n">
        <v>0</v>
      </c>
      <c r="Q58" s="6"/>
      <c r="R58" s="6" t="s">
        <v>508</v>
      </c>
      <c r="S58" s="17" t="n">
        <v>3</v>
      </c>
      <c r="T58" s="12" t="s">
        <v>751</v>
      </c>
    </row>
    <row r="59" customFormat="false" ht="15" hidden="false" customHeight="true" outlineLevel="0" collapsed="false">
      <c r="A59" s="6" t="n">
        <v>2020</v>
      </c>
      <c r="B59" s="6" t="n">
        <v>58</v>
      </c>
      <c r="C59" s="7" t="s">
        <v>752</v>
      </c>
      <c r="D59" s="7" t="s">
        <v>753</v>
      </c>
      <c r="E59" s="7" t="s">
        <v>299</v>
      </c>
      <c r="F59" s="7" t="s">
        <v>37</v>
      </c>
      <c r="G59" s="6" t="n">
        <v>3</v>
      </c>
      <c r="H59" s="6" t="n">
        <v>19</v>
      </c>
      <c r="I59" s="6" t="n">
        <v>15</v>
      </c>
      <c r="J59" s="9" t="n">
        <v>4000</v>
      </c>
      <c r="K59" s="6" t="n">
        <v>479</v>
      </c>
      <c r="L59" s="6" t="s">
        <v>754</v>
      </c>
      <c r="M59" s="6" t="n">
        <v>3</v>
      </c>
      <c r="N59" s="9" t="n">
        <v>4658</v>
      </c>
      <c r="O59" s="9" t="n">
        <v>0</v>
      </c>
      <c r="P59" s="16" t="n">
        <v>1.16</v>
      </c>
      <c r="Q59" s="6"/>
      <c r="R59" s="6" t="s">
        <v>755</v>
      </c>
      <c r="S59" s="17" t="n">
        <v>4</v>
      </c>
      <c r="T59" s="12" t="s">
        <v>756</v>
      </c>
    </row>
    <row r="60" customFormat="false" ht="15" hidden="false" customHeight="true" outlineLevel="0" collapsed="false">
      <c r="A60" s="6" t="n">
        <v>2020</v>
      </c>
      <c r="B60" s="6" t="n">
        <v>59</v>
      </c>
      <c r="C60" s="7" t="s">
        <v>757</v>
      </c>
      <c r="D60" s="7" t="s">
        <v>758</v>
      </c>
      <c r="E60" s="7" t="s">
        <v>135</v>
      </c>
      <c r="F60" s="7" t="s">
        <v>27</v>
      </c>
      <c r="G60" s="6" t="n">
        <v>5</v>
      </c>
      <c r="H60" s="6" t="n">
        <v>9</v>
      </c>
      <c r="I60" s="6" t="n">
        <v>4</v>
      </c>
      <c r="J60" s="9" t="n">
        <v>4000</v>
      </c>
      <c r="K60" s="6"/>
      <c r="L60" s="6" t="s">
        <v>759</v>
      </c>
      <c r="M60" s="6" t="n">
        <v>1</v>
      </c>
      <c r="N60" s="9" t="n">
        <v>928</v>
      </c>
      <c r="O60" s="9" t="n">
        <v>0</v>
      </c>
      <c r="P60" s="16" t="n">
        <v>0.23</v>
      </c>
      <c r="Q60" s="6"/>
      <c r="R60" s="6" t="s">
        <v>562</v>
      </c>
      <c r="S60" s="17" t="n">
        <v>4</v>
      </c>
      <c r="T60" s="11" t="s">
        <v>760</v>
      </c>
    </row>
    <row r="61" customFormat="false" ht="15" hidden="false" customHeight="true" outlineLevel="0" collapsed="false">
      <c r="A61" s="6" t="n">
        <v>2020</v>
      </c>
      <c r="B61" s="6" t="n">
        <v>60</v>
      </c>
      <c r="C61" s="7" t="s">
        <v>761</v>
      </c>
      <c r="D61" s="7" t="s">
        <v>762</v>
      </c>
      <c r="E61" s="7" t="s">
        <v>135</v>
      </c>
      <c r="F61" s="7" t="s">
        <v>37</v>
      </c>
      <c r="G61" s="6" t="n">
        <v>3</v>
      </c>
      <c r="H61" s="6" t="n">
        <v>15</v>
      </c>
      <c r="I61" s="6" t="n">
        <v>10</v>
      </c>
      <c r="J61" s="9" t="n">
        <v>2800</v>
      </c>
      <c r="K61" s="6" t="n">
        <v>438</v>
      </c>
      <c r="L61" s="6" t="s">
        <v>763</v>
      </c>
      <c r="M61" s="6" t="n">
        <v>3</v>
      </c>
      <c r="N61" s="9" t="n">
        <v>4452</v>
      </c>
      <c r="O61" s="9" t="n">
        <v>0</v>
      </c>
      <c r="P61" s="16" t="n">
        <v>1.59</v>
      </c>
      <c r="Q61" s="6"/>
      <c r="R61" s="6" t="s">
        <v>764</v>
      </c>
      <c r="S61" s="17" t="n">
        <v>4</v>
      </c>
      <c r="T61" s="12" t="s">
        <v>765</v>
      </c>
    </row>
    <row r="62" customFormat="false" ht="15" hidden="false" customHeight="true" outlineLevel="0" collapsed="false">
      <c r="A62" s="6" t="n">
        <v>2020</v>
      </c>
      <c r="B62" s="6" t="n">
        <v>61</v>
      </c>
      <c r="C62" s="7" t="s">
        <v>766</v>
      </c>
      <c r="D62" s="7" t="s">
        <v>767</v>
      </c>
      <c r="E62" s="7" t="s">
        <v>135</v>
      </c>
      <c r="F62" s="7" t="s">
        <v>37</v>
      </c>
      <c r="G62" s="6" t="n">
        <v>3</v>
      </c>
      <c r="H62" s="6" t="n">
        <v>7</v>
      </c>
      <c r="I62" s="6" t="n">
        <v>1</v>
      </c>
      <c r="J62" s="9" t="n">
        <v>2800</v>
      </c>
      <c r="K62" s="6" t="n">
        <v>412</v>
      </c>
      <c r="L62" s="6" t="s">
        <v>691</v>
      </c>
      <c r="M62" s="6" t="n">
        <v>0</v>
      </c>
      <c r="N62" s="9" t="n">
        <v>78</v>
      </c>
      <c r="O62" s="9" t="n">
        <v>0</v>
      </c>
      <c r="P62" s="16" t="n">
        <v>0.03</v>
      </c>
      <c r="Q62" s="6"/>
      <c r="R62" s="6" t="s">
        <v>508</v>
      </c>
      <c r="S62" s="17" t="n">
        <v>3</v>
      </c>
      <c r="T62" s="12" t="s">
        <v>117</v>
      </c>
    </row>
    <row r="63" customFormat="false" ht="15" hidden="false" customHeight="true" outlineLevel="0" collapsed="false">
      <c r="A63" s="6" t="n">
        <v>2020</v>
      </c>
      <c r="B63" s="6" t="n">
        <v>62</v>
      </c>
      <c r="C63" s="7" t="s">
        <v>768</v>
      </c>
      <c r="D63" s="6" t="s">
        <v>769</v>
      </c>
      <c r="E63" s="7" t="s">
        <v>89</v>
      </c>
      <c r="F63" s="7" t="s">
        <v>27</v>
      </c>
      <c r="G63" s="6" t="n">
        <v>4</v>
      </c>
      <c r="H63" s="6" t="n">
        <v>4</v>
      </c>
      <c r="I63" s="6" t="n">
        <v>1</v>
      </c>
      <c r="J63" s="9" t="n">
        <v>3000</v>
      </c>
      <c r="K63" s="6" t="n">
        <v>430</v>
      </c>
      <c r="L63" s="7" t="s">
        <v>770</v>
      </c>
      <c r="M63" s="6" t="n">
        <v>0</v>
      </c>
      <c r="N63" s="9" t="n">
        <v>0</v>
      </c>
      <c r="O63" s="9" t="n">
        <v>0</v>
      </c>
      <c r="P63" s="16" t="n">
        <v>0</v>
      </c>
      <c r="Q63" s="6"/>
      <c r="R63" s="6"/>
      <c r="S63" s="17" t="n">
        <v>5</v>
      </c>
      <c r="T63" s="11" t="s">
        <v>56</v>
      </c>
    </row>
    <row r="64" customFormat="false" ht="15" hidden="false" customHeight="true" outlineLevel="0" collapsed="false">
      <c r="A64" s="6" t="n">
        <v>2020</v>
      </c>
      <c r="B64" s="6" t="n">
        <v>63</v>
      </c>
      <c r="C64" s="7" t="s">
        <v>771</v>
      </c>
      <c r="D64" s="7" t="s">
        <v>772</v>
      </c>
      <c r="E64" s="7" t="s">
        <v>89</v>
      </c>
      <c r="F64" s="7" t="s">
        <v>37</v>
      </c>
      <c r="G64" s="6" t="n">
        <v>2</v>
      </c>
      <c r="H64" s="6" t="n">
        <v>8</v>
      </c>
      <c r="I64" s="6" t="n">
        <v>2</v>
      </c>
      <c r="J64" s="9" t="n">
        <v>3600</v>
      </c>
      <c r="K64" s="6" t="n">
        <v>429</v>
      </c>
      <c r="L64" s="6" t="s">
        <v>773</v>
      </c>
      <c r="M64" s="6" t="n">
        <v>0</v>
      </c>
      <c r="N64" s="9" t="n">
        <v>650</v>
      </c>
      <c r="O64" s="9" t="n">
        <v>0</v>
      </c>
      <c r="P64" s="16" t="n">
        <v>0.18</v>
      </c>
      <c r="Q64" s="6"/>
      <c r="R64" s="6" t="s">
        <v>508</v>
      </c>
      <c r="S64" s="17" t="n">
        <v>3</v>
      </c>
      <c r="T64" s="12" t="s">
        <v>673</v>
      </c>
    </row>
    <row r="65" customFormat="false" ht="15" hidden="false" customHeight="true" outlineLevel="0" collapsed="false">
      <c r="A65" s="6" t="n">
        <v>2020</v>
      </c>
      <c r="B65" s="6" t="n">
        <v>64</v>
      </c>
      <c r="C65" s="7" t="s">
        <v>774</v>
      </c>
      <c r="D65" s="7" t="s">
        <v>775</v>
      </c>
      <c r="E65" s="7" t="s">
        <v>89</v>
      </c>
      <c r="F65" s="7" t="s">
        <v>37</v>
      </c>
      <c r="G65" s="6" t="n">
        <v>3</v>
      </c>
      <c r="H65" s="6" t="n">
        <v>9</v>
      </c>
      <c r="I65" s="6" t="n">
        <v>3</v>
      </c>
      <c r="J65" s="9" t="n">
        <v>2800</v>
      </c>
      <c r="K65" s="6" t="n">
        <v>460</v>
      </c>
      <c r="L65" s="6" t="s">
        <v>776</v>
      </c>
      <c r="M65" s="6" t="n">
        <v>1</v>
      </c>
      <c r="N65" s="9" t="n">
        <v>850</v>
      </c>
      <c r="O65" s="9" t="n">
        <v>0</v>
      </c>
      <c r="P65" s="16" t="n">
        <v>0.3</v>
      </c>
      <c r="Q65" s="6"/>
      <c r="R65" s="6" t="s">
        <v>518</v>
      </c>
      <c r="S65" s="17" t="n">
        <v>5</v>
      </c>
      <c r="T65" s="12" t="s">
        <v>777</v>
      </c>
    </row>
    <row r="66" customFormat="false" ht="15" hidden="false" customHeight="true" outlineLevel="0" collapsed="false">
      <c r="A66" s="6" t="n">
        <v>2020</v>
      </c>
      <c r="B66" s="6" t="n">
        <v>65</v>
      </c>
      <c r="C66" s="7" t="s">
        <v>778</v>
      </c>
      <c r="D66" s="7" t="s">
        <v>779</v>
      </c>
      <c r="E66" s="7" t="s">
        <v>58</v>
      </c>
      <c r="F66" s="7" t="s">
        <v>27</v>
      </c>
      <c r="G66" s="6" t="n">
        <v>3</v>
      </c>
      <c r="H66" s="6" t="n">
        <v>17</v>
      </c>
      <c r="I66" s="6" t="n">
        <v>11</v>
      </c>
      <c r="J66" s="9" t="n">
        <v>5600</v>
      </c>
      <c r="K66" s="6" t="n">
        <v>426</v>
      </c>
      <c r="L66" s="6" t="s">
        <v>780</v>
      </c>
      <c r="M66" s="6" t="n">
        <v>5</v>
      </c>
      <c r="N66" s="9" t="n">
        <v>17296</v>
      </c>
      <c r="O66" s="9" t="n">
        <v>0</v>
      </c>
      <c r="P66" s="16" t="n">
        <v>3.09</v>
      </c>
      <c r="Q66" s="6" t="s">
        <v>32</v>
      </c>
      <c r="R66" s="6" t="s">
        <v>781</v>
      </c>
      <c r="S66" s="17" t="n">
        <v>4</v>
      </c>
      <c r="T66" s="11" t="s">
        <v>166</v>
      </c>
    </row>
    <row r="67" customFormat="false" ht="15" hidden="false" customHeight="true" outlineLevel="0" collapsed="false">
      <c r="A67" s="6" t="n">
        <v>2020</v>
      </c>
      <c r="B67" s="6" t="n">
        <v>66</v>
      </c>
      <c r="C67" s="7" t="s">
        <v>782</v>
      </c>
      <c r="D67" s="7" t="s">
        <v>783</v>
      </c>
      <c r="E67" s="7" t="s">
        <v>58</v>
      </c>
      <c r="F67" s="7" t="s">
        <v>27</v>
      </c>
      <c r="G67" s="6" t="n">
        <v>3</v>
      </c>
      <c r="H67" s="6" t="n">
        <v>13</v>
      </c>
      <c r="I67" s="6" t="n">
        <v>7</v>
      </c>
      <c r="J67" s="9" t="n">
        <v>5000</v>
      </c>
      <c r="K67" s="6" t="n">
        <v>482</v>
      </c>
      <c r="L67" s="6" t="s">
        <v>784</v>
      </c>
      <c r="M67" s="6" t="n">
        <v>2</v>
      </c>
      <c r="N67" s="9" t="n">
        <v>450</v>
      </c>
      <c r="O67" s="9" t="n">
        <v>164</v>
      </c>
      <c r="P67" s="16" t="n">
        <v>0.12</v>
      </c>
      <c r="Q67" s="6"/>
      <c r="R67" s="7" t="s">
        <v>785</v>
      </c>
      <c r="S67" s="17" t="n">
        <v>5</v>
      </c>
      <c r="T67" s="11" t="s">
        <v>786</v>
      </c>
    </row>
    <row r="68" customFormat="false" ht="15" hidden="false" customHeight="true" outlineLevel="0" collapsed="false">
      <c r="A68" s="6" t="n">
        <v>2020</v>
      </c>
      <c r="B68" s="6" t="n">
        <v>67</v>
      </c>
      <c r="C68" s="7" t="s">
        <v>787</v>
      </c>
      <c r="D68" s="7" t="s">
        <v>788</v>
      </c>
      <c r="E68" s="7" t="s">
        <v>58</v>
      </c>
      <c r="F68" s="7" t="s">
        <v>37</v>
      </c>
      <c r="G68" s="6" t="n">
        <v>3</v>
      </c>
      <c r="H68" s="6" t="n">
        <v>9</v>
      </c>
      <c r="I68" s="6" t="n">
        <v>3</v>
      </c>
      <c r="J68" s="9" t="n">
        <v>2600</v>
      </c>
      <c r="K68" s="6" t="n">
        <v>424</v>
      </c>
      <c r="L68" s="6" t="s">
        <v>789</v>
      </c>
      <c r="M68" s="6" t="n">
        <v>5</v>
      </c>
      <c r="N68" s="9" t="n">
        <v>50963</v>
      </c>
      <c r="O68" s="9" t="n">
        <v>0</v>
      </c>
      <c r="P68" s="16" t="n">
        <v>19.6</v>
      </c>
      <c r="Q68" s="6" t="s">
        <v>32</v>
      </c>
      <c r="R68" s="6" t="s">
        <v>790</v>
      </c>
      <c r="S68" s="17" t="n">
        <v>4</v>
      </c>
      <c r="T68" s="12" t="s">
        <v>791</v>
      </c>
    </row>
    <row r="69" customFormat="false" ht="15" hidden="false" customHeight="true" outlineLevel="0" collapsed="false">
      <c r="A69" s="6" t="n">
        <v>2020</v>
      </c>
      <c r="B69" s="6" t="n">
        <v>68</v>
      </c>
      <c r="C69" s="7" t="s">
        <v>792</v>
      </c>
      <c r="D69" s="7" t="s">
        <v>793</v>
      </c>
      <c r="E69" s="7" t="s">
        <v>190</v>
      </c>
      <c r="F69" s="7" t="s">
        <v>27</v>
      </c>
      <c r="G69" s="6" t="n">
        <v>3</v>
      </c>
      <c r="H69" s="6" t="n">
        <v>7</v>
      </c>
      <c r="I69" s="6" t="n">
        <v>1</v>
      </c>
      <c r="J69" s="9" t="n">
        <v>3000</v>
      </c>
      <c r="K69" s="6" t="n">
        <v>405</v>
      </c>
      <c r="L69" s="6" t="s">
        <v>794</v>
      </c>
      <c r="M69" s="6" t="n">
        <v>4</v>
      </c>
      <c r="N69" s="9" t="n">
        <v>9897</v>
      </c>
      <c r="O69" s="9" t="n">
        <v>0</v>
      </c>
      <c r="P69" s="16" t="n">
        <v>3.3</v>
      </c>
      <c r="Q69" s="6"/>
      <c r="R69" s="6" t="s">
        <v>795</v>
      </c>
      <c r="S69" s="17" t="n">
        <v>3</v>
      </c>
      <c r="T69" s="11" t="s">
        <v>796</v>
      </c>
    </row>
    <row r="70" customFormat="false" ht="15" hidden="false" customHeight="true" outlineLevel="0" collapsed="false">
      <c r="A70" s="6" t="n">
        <v>2020</v>
      </c>
      <c r="B70" s="6" t="n">
        <v>69</v>
      </c>
      <c r="C70" s="7" t="s">
        <v>797</v>
      </c>
      <c r="D70" s="7" t="s">
        <v>798</v>
      </c>
      <c r="E70" s="7" t="s">
        <v>190</v>
      </c>
      <c r="F70" s="7" t="s">
        <v>37</v>
      </c>
      <c r="G70" s="6" t="n">
        <v>2</v>
      </c>
      <c r="H70" s="6" t="n">
        <v>7</v>
      </c>
      <c r="I70" s="6" t="n">
        <v>1</v>
      </c>
      <c r="J70" s="9" t="n">
        <v>2400</v>
      </c>
      <c r="K70" s="6" t="n">
        <v>426</v>
      </c>
      <c r="L70" s="6" t="s">
        <v>799</v>
      </c>
      <c r="M70" s="6" t="n">
        <v>0</v>
      </c>
      <c r="N70" s="9" t="n">
        <v>698</v>
      </c>
      <c r="O70" s="9" t="n">
        <v>0</v>
      </c>
      <c r="P70" s="16" t="n">
        <v>0.29</v>
      </c>
      <c r="Q70" s="6"/>
      <c r="R70" s="6" t="s">
        <v>508</v>
      </c>
      <c r="S70" s="17" t="n">
        <v>1</v>
      </c>
      <c r="T70" s="12" t="s">
        <v>361</v>
      </c>
    </row>
    <row r="71" customFormat="false" ht="15" hidden="false" customHeight="true" outlineLevel="0" collapsed="false">
      <c r="A71" s="6" t="n">
        <v>2020</v>
      </c>
      <c r="B71" s="6" t="n">
        <v>70</v>
      </c>
      <c r="C71" s="7" t="s">
        <v>800</v>
      </c>
      <c r="D71" s="7" t="s">
        <v>801</v>
      </c>
      <c r="E71" s="7" t="s">
        <v>190</v>
      </c>
      <c r="F71" s="7" t="s">
        <v>37</v>
      </c>
      <c r="G71" s="6" t="n">
        <v>5</v>
      </c>
      <c r="H71" s="6" t="n">
        <v>5</v>
      </c>
      <c r="I71" s="6" t="n">
        <v>1</v>
      </c>
      <c r="J71" s="9" t="n">
        <v>1800</v>
      </c>
      <c r="K71" s="6" t="n">
        <v>386</v>
      </c>
      <c r="L71" s="6" t="s">
        <v>802</v>
      </c>
      <c r="M71" s="6" t="n">
        <v>0</v>
      </c>
      <c r="N71" s="9" t="n">
        <v>0</v>
      </c>
      <c r="O71" s="9" t="n">
        <v>31</v>
      </c>
      <c r="P71" s="16" t="n">
        <v>0.02</v>
      </c>
      <c r="Q71" s="6"/>
      <c r="R71" s="6" t="s">
        <v>508</v>
      </c>
      <c r="S71" s="17" t="n">
        <v>1</v>
      </c>
      <c r="T71" s="12" t="s">
        <v>361</v>
      </c>
    </row>
    <row r="72" customFormat="false" ht="15" hidden="false" customHeight="true" outlineLevel="0" collapsed="false">
      <c r="A72" s="6" t="n">
        <v>2020</v>
      </c>
      <c r="B72" s="6" t="n">
        <v>71</v>
      </c>
      <c r="C72" s="7" t="s">
        <v>803</v>
      </c>
      <c r="D72" s="7" t="s">
        <v>804</v>
      </c>
      <c r="E72" s="7" t="s">
        <v>72</v>
      </c>
      <c r="F72" s="7" t="s">
        <v>27</v>
      </c>
      <c r="G72" s="6" t="n">
        <v>3</v>
      </c>
      <c r="H72" s="6" t="n">
        <v>13</v>
      </c>
      <c r="I72" s="6" t="n">
        <v>6</v>
      </c>
      <c r="J72" s="9" t="n">
        <v>3000</v>
      </c>
      <c r="K72" s="6" t="n">
        <v>445</v>
      </c>
      <c r="L72" s="6" t="s">
        <v>805</v>
      </c>
      <c r="M72" s="6" t="n">
        <v>6</v>
      </c>
      <c r="N72" s="9" t="n">
        <v>7248</v>
      </c>
      <c r="O72" s="9" t="n">
        <v>4808</v>
      </c>
      <c r="P72" s="16" t="n">
        <v>4.02</v>
      </c>
      <c r="Q72" s="6" t="s">
        <v>32</v>
      </c>
      <c r="R72" s="6" t="s">
        <v>806</v>
      </c>
      <c r="S72" s="17" t="n">
        <v>5</v>
      </c>
      <c r="T72" s="11" t="s">
        <v>807</v>
      </c>
    </row>
    <row r="73" customFormat="false" ht="15" hidden="false" customHeight="true" outlineLevel="0" collapsed="false">
      <c r="A73" s="6" t="n">
        <v>2020</v>
      </c>
      <c r="B73" s="6" t="n">
        <v>72</v>
      </c>
      <c r="C73" s="7" t="s">
        <v>808</v>
      </c>
      <c r="D73" s="7" t="s">
        <v>809</v>
      </c>
      <c r="E73" s="7" t="s">
        <v>63</v>
      </c>
      <c r="F73" s="7" t="s">
        <v>27</v>
      </c>
      <c r="G73" s="6" t="n">
        <v>5</v>
      </c>
      <c r="H73" s="6" t="n">
        <v>17</v>
      </c>
      <c r="I73" s="6" t="n">
        <v>9</v>
      </c>
      <c r="J73" s="9" t="n">
        <v>5000</v>
      </c>
      <c r="K73" s="6" t="n">
        <v>439</v>
      </c>
      <c r="L73" s="6" t="s">
        <v>538</v>
      </c>
      <c r="M73" s="6" t="n">
        <v>0</v>
      </c>
      <c r="N73" s="9" t="n">
        <v>0</v>
      </c>
      <c r="O73" s="9" t="n">
        <v>0</v>
      </c>
      <c r="P73" s="16" t="n">
        <v>0</v>
      </c>
      <c r="Q73" s="6"/>
      <c r="R73" s="6" t="s">
        <v>508</v>
      </c>
      <c r="S73" s="17" t="n">
        <v>4</v>
      </c>
      <c r="T73" s="11" t="s">
        <v>810</v>
      </c>
    </row>
    <row r="74" customFormat="false" ht="15" hidden="false" customHeight="true" outlineLevel="0" collapsed="false">
      <c r="A74" s="6" t="n">
        <v>2020</v>
      </c>
      <c r="B74" s="6" t="n">
        <v>73</v>
      </c>
      <c r="C74" s="7" t="s">
        <v>811</v>
      </c>
      <c r="D74" s="7" t="s">
        <v>812</v>
      </c>
      <c r="E74" s="7" t="s">
        <v>63</v>
      </c>
      <c r="F74" s="7" t="s">
        <v>37</v>
      </c>
      <c r="G74" s="6" t="n">
        <v>1</v>
      </c>
      <c r="H74" s="6" t="n">
        <v>9</v>
      </c>
      <c r="I74" s="6" t="n">
        <v>5</v>
      </c>
      <c r="J74" s="9" t="n">
        <v>1800</v>
      </c>
      <c r="K74" s="6" t="n">
        <v>488</v>
      </c>
      <c r="L74" s="6" t="s">
        <v>813</v>
      </c>
      <c r="M74" s="6" t="n">
        <v>0</v>
      </c>
      <c r="N74" s="9" t="n">
        <v>277</v>
      </c>
      <c r="O74" s="9" t="n">
        <v>0</v>
      </c>
      <c r="P74" s="16" t="n">
        <v>0.15</v>
      </c>
      <c r="Q74" s="6"/>
      <c r="R74" s="6" t="s">
        <v>508</v>
      </c>
      <c r="S74" s="17" t="n">
        <v>3</v>
      </c>
      <c r="T74" s="12" t="s">
        <v>814</v>
      </c>
    </row>
    <row r="75" customFormat="false" ht="15" hidden="false" customHeight="true" outlineLevel="0" collapsed="false">
      <c r="A75" s="6" t="n">
        <v>2020</v>
      </c>
      <c r="B75" s="6" t="n">
        <v>74</v>
      </c>
      <c r="C75" s="7" t="s">
        <v>815</v>
      </c>
      <c r="D75" s="7" t="s">
        <v>816</v>
      </c>
      <c r="E75" s="7" t="s">
        <v>364</v>
      </c>
      <c r="F75" s="7" t="s">
        <v>27</v>
      </c>
      <c r="G75" s="6" t="n">
        <v>2</v>
      </c>
      <c r="H75" s="6" t="n">
        <v>7</v>
      </c>
      <c r="I75" s="6" t="n">
        <v>1</v>
      </c>
      <c r="J75" s="9" t="n">
        <v>2000</v>
      </c>
      <c r="K75" s="6" t="n">
        <v>401</v>
      </c>
      <c r="L75" s="6" t="s">
        <v>599</v>
      </c>
      <c r="M75" s="6" t="n">
        <v>0</v>
      </c>
      <c r="N75" s="9" t="n">
        <v>0</v>
      </c>
      <c r="O75" s="9" t="n">
        <v>0</v>
      </c>
      <c r="P75" s="16" t="n">
        <v>0</v>
      </c>
      <c r="Q75" s="6"/>
      <c r="R75" s="6" t="s">
        <v>508</v>
      </c>
      <c r="S75" s="17" t="n">
        <v>2</v>
      </c>
      <c r="T75" s="11" t="s">
        <v>222</v>
      </c>
    </row>
    <row r="76" customFormat="false" ht="15" hidden="false" customHeight="true" outlineLevel="0" collapsed="false">
      <c r="A76" s="6" t="n">
        <v>2020</v>
      </c>
      <c r="B76" s="6" t="n">
        <v>75</v>
      </c>
      <c r="C76" s="7" t="s">
        <v>817</v>
      </c>
      <c r="D76" s="7" t="s">
        <v>818</v>
      </c>
      <c r="E76" s="7" t="s">
        <v>364</v>
      </c>
      <c r="F76" s="7" t="s">
        <v>37</v>
      </c>
      <c r="G76" s="6" t="n">
        <v>2</v>
      </c>
      <c r="H76" s="6" t="n">
        <v>9</v>
      </c>
      <c r="I76" s="6" t="n">
        <v>2</v>
      </c>
      <c r="J76" s="9" t="n">
        <v>2000</v>
      </c>
      <c r="K76" s="6" t="n">
        <v>487</v>
      </c>
      <c r="L76" s="6" t="s">
        <v>819</v>
      </c>
      <c r="M76" s="6" t="n">
        <v>1</v>
      </c>
      <c r="N76" s="9" t="n">
        <v>4523</v>
      </c>
      <c r="O76" s="9" t="n">
        <v>0</v>
      </c>
      <c r="P76" s="16" t="n">
        <v>2.26</v>
      </c>
      <c r="Q76" s="6"/>
      <c r="R76" s="6" t="s">
        <v>518</v>
      </c>
      <c r="S76" s="17" t="n">
        <v>3</v>
      </c>
      <c r="T76" s="12" t="s">
        <v>820</v>
      </c>
    </row>
    <row r="77" customFormat="false" ht="15" hidden="false" customHeight="true" outlineLevel="0" collapsed="false">
      <c r="A77" s="6" t="n">
        <v>2020</v>
      </c>
      <c r="B77" s="6" t="n">
        <v>76</v>
      </c>
      <c r="C77" s="7" t="s">
        <v>821</v>
      </c>
      <c r="D77" s="7" t="s">
        <v>822</v>
      </c>
      <c r="E77" s="7" t="s">
        <v>125</v>
      </c>
      <c r="F77" s="7" t="s">
        <v>27</v>
      </c>
      <c r="G77" s="6" t="n">
        <v>2</v>
      </c>
      <c r="H77" s="6" t="n">
        <v>14</v>
      </c>
      <c r="I77" s="6" t="n">
        <v>7</v>
      </c>
      <c r="J77" s="9" t="n">
        <v>1800</v>
      </c>
      <c r="K77" s="6" t="n">
        <v>460</v>
      </c>
      <c r="L77" s="6" t="s">
        <v>599</v>
      </c>
      <c r="M77" s="6" t="n">
        <v>0</v>
      </c>
      <c r="N77" s="9" t="n">
        <v>0</v>
      </c>
      <c r="O77" s="9" t="n">
        <v>0</v>
      </c>
      <c r="P77" s="16" t="n">
        <v>0</v>
      </c>
      <c r="Q77" s="6"/>
      <c r="R77" s="6" t="s">
        <v>508</v>
      </c>
      <c r="S77" s="17" t="n">
        <v>3</v>
      </c>
      <c r="T77" s="11" t="s">
        <v>628</v>
      </c>
    </row>
    <row r="78" customFormat="false" ht="15" hidden="false" customHeight="true" outlineLevel="0" collapsed="false">
      <c r="A78" s="6" t="n">
        <v>2020</v>
      </c>
      <c r="B78" s="6" t="n">
        <v>77</v>
      </c>
      <c r="C78" s="7" t="s">
        <v>823</v>
      </c>
      <c r="D78" s="7" t="s">
        <v>824</v>
      </c>
      <c r="E78" s="7" t="s">
        <v>125</v>
      </c>
      <c r="F78" s="7" t="s">
        <v>37</v>
      </c>
      <c r="G78" s="6" t="n">
        <v>3</v>
      </c>
      <c r="H78" s="6" t="n">
        <v>9</v>
      </c>
      <c r="I78" s="6" t="n">
        <v>4</v>
      </c>
      <c r="J78" s="9" t="n">
        <v>2000</v>
      </c>
      <c r="K78" s="6" t="n">
        <v>403</v>
      </c>
      <c r="L78" s="6" t="s">
        <v>691</v>
      </c>
      <c r="M78" s="6" t="n">
        <v>0</v>
      </c>
      <c r="N78" s="9" t="n">
        <v>0</v>
      </c>
      <c r="O78" s="9" t="n">
        <v>0</v>
      </c>
      <c r="P78" s="16" t="n">
        <v>0</v>
      </c>
      <c r="Q78" s="6"/>
      <c r="R78" s="6" t="s">
        <v>508</v>
      </c>
      <c r="S78" s="17" t="n">
        <v>3</v>
      </c>
      <c r="T78" s="12" t="s">
        <v>46</v>
      </c>
    </row>
    <row r="79" customFormat="false" ht="15" hidden="false" customHeight="true" outlineLevel="0" collapsed="false">
      <c r="A79" s="6" t="n">
        <v>2020</v>
      </c>
      <c r="B79" s="6" t="n">
        <v>78</v>
      </c>
      <c r="C79" s="7" t="s">
        <v>825</v>
      </c>
      <c r="D79" s="7" t="s">
        <v>826</v>
      </c>
      <c r="E79" s="7" t="s">
        <v>159</v>
      </c>
      <c r="F79" s="7" t="s">
        <v>37</v>
      </c>
      <c r="G79" s="6" t="n">
        <v>2</v>
      </c>
      <c r="H79" s="6" t="n">
        <v>18</v>
      </c>
      <c r="I79" s="6" t="n">
        <v>9</v>
      </c>
      <c r="J79" s="9" t="n">
        <v>2400</v>
      </c>
      <c r="K79" s="6" t="n">
        <v>435</v>
      </c>
      <c r="L79" s="6" t="s">
        <v>827</v>
      </c>
      <c r="M79" s="6" t="n">
        <v>1</v>
      </c>
      <c r="N79" s="9" t="n">
        <v>1487</v>
      </c>
      <c r="O79" s="9" t="n">
        <v>0</v>
      </c>
      <c r="P79" s="16" t="n">
        <v>0.62</v>
      </c>
      <c r="Q79" s="6"/>
      <c r="R79" s="6" t="s">
        <v>562</v>
      </c>
      <c r="S79" s="17" t="n">
        <v>2</v>
      </c>
      <c r="T79" s="12" t="s">
        <v>828</v>
      </c>
    </row>
    <row r="80" customFormat="false" ht="15" hidden="false" customHeight="true" outlineLevel="0" collapsed="false">
      <c r="A80" s="6" t="n">
        <v>2020</v>
      </c>
      <c r="B80" s="6" t="n">
        <v>79</v>
      </c>
      <c r="C80" s="7" t="s">
        <v>829</v>
      </c>
      <c r="D80" s="7" t="s">
        <v>830</v>
      </c>
      <c r="E80" s="7" t="s">
        <v>831</v>
      </c>
      <c r="F80" s="7" t="s">
        <v>27</v>
      </c>
      <c r="G80" s="6" t="n">
        <v>3</v>
      </c>
      <c r="H80" s="6" t="n">
        <v>15</v>
      </c>
      <c r="I80" s="6" t="n">
        <v>6</v>
      </c>
      <c r="J80" s="9" t="n">
        <v>1600</v>
      </c>
      <c r="K80" s="6" t="n">
        <v>450</v>
      </c>
      <c r="L80" s="6" t="s">
        <v>832</v>
      </c>
      <c r="M80" s="6" t="n">
        <v>1</v>
      </c>
      <c r="N80" s="9" t="n">
        <v>612</v>
      </c>
      <c r="O80" s="9" t="n">
        <v>7</v>
      </c>
      <c r="P80" s="16" t="n">
        <v>0.39</v>
      </c>
      <c r="Q80" s="6"/>
      <c r="R80" s="6" t="s">
        <v>833</v>
      </c>
      <c r="S80" s="17" t="n">
        <v>4</v>
      </c>
      <c r="T80" s="11" t="s">
        <v>834</v>
      </c>
    </row>
    <row r="81" customFormat="false" ht="15" hidden="false" customHeight="true" outlineLevel="0" collapsed="false">
      <c r="A81" s="6" t="n">
        <v>2020</v>
      </c>
      <c r="B81" s="6" t="n">
        <v>80</v>
      </c>
      <c r="C81" s="7" t="s">
        <v>835</v>
      </c>
      <c r="D81" s="7" t="s">
        <v>836</v>
      </c>
      <c r="E81" s="7" t="s">
        <v>837</v>
      </c>
      <c r="F81" s="7" t="s">
        <v>27</v>
      </c>
      <c r="G81" s="6" t="n">
        <v>3</v>
      </c>
      <c r="H81" s="6" t="n">
        <v>12</v>
      </c>
      <c r="I81" s="6" t="n">
        <v>4</v>
      </c>
      <c r="J81" s="9" t="n">
        <v>2000</v>
      </c>
      <c r="K81" s="6" t="n">
        <v>467</v>
      </c>
      <c r="L81" s="6" t="s">
        <v>832</v>
      </c>
      <c r="M81" s="6" t="n">
        <v>1</v>
      </c>
      <c r="N81" s="9" t="n">
        <v>70</v>
      </c>
      <c r="O81" s="9" t="n">
        <v>51</v>
      </c>
      <c r="P81" s="16" t="n">
        <v>0.06</v>
      </c>
      <c r="Q81" s="6"/>
      <c r="R81" s="6" t="s">
        <v>838</v>
      </c>
      <c r="S81" s="17" t="n">
        <v>3</v>
      </c>
      <c r="T81" s="11" t="s">
        <v>839</v>
      </c>
    </row>
    <row r="82" customFormat="false" ht="15" hidden="false" customHeight="true" outlineLevel="0" collapsed="false">
      <c r="A82" s="6" t="n">
        <v>2020</v>
      </c>
      <c r="B82" s="6" t="n">
        <v>81</v>
      </c>
      <c r="C82" s="7" t="s">
        <v>840</v>
      </c>
      <c r="D82" s="6" t="s">
        <v>769</v>
      </c>
      <c r="E82" s="7" t="s">
        <v>363</v>
      </c>
      <c r="F82" s="7" t="s">
        <v>37</v>
      </c>
      <c r="G82" s="6" t="n">
        <v>3</v>
      </c>
      <c r="H82" s="6" t="n">
        <v>7</v>
      </c>
      <c r="I82" s="6" t="n">
        <v>1</v>
      </c>
      <c r="J82" s="9" t="n">
        <v>1200</v>
      </c>
      <c r="K82" s="6" t="n">
        <v>401</v>
      </c>
      <c r="L82" s="7" t="s">
        <v>770</v>
      </c>
      <c r="M82" s="6" t="n">
        <v>0</v>
      </c>
      <c r="N82" s="9" t="n">
        <v>0</v>
      </c>
      <c r="O82" s="9" t="n">
        <v>0</v>
      </c>
      <c r="P82" s="16" t="n">
        <v>0</v>
      </c>
      <c r="Q82" s="6"/>
      <c r="R82" s="6"/>
      <c r="S82" s="17" t="n">
        <v>2</v>
      </c>
      <c r="T82" s="12" t="s">
        <v>174</v>
      </c>
    </row>
    <row r="83" customFormat="false" ht="15" hidden="false" customHeight="true" outlineLevel="0" collapsed="false">
      <c r="A83" s="6" t="n">
        <v>2020</v>
      </c>
      <c r="B83" s="6" t="n">
        <v>82</v>
      </c>
      <c r="C83" s="7" t="s">
        <v>841</v>
      </c>
      <c r="D83" s="7" t="s">
        <v>842</v>
      </c>
      <c r="E83" s="7" t="s">
        <v>666</v>
      </c>
      <c r="F83" s="7" t="s">
        <v>37</v>
      </c>
      <c r="G83" s="6" t="n">
        <v>1</v>
      </c>
      <c r="H83" s="6" t="n">
        <v>8</v>
      </c>
      <c r="I83" s="6" t="n">
        <v>2</v>
      </c>
      <c r="J83" s="9" t="n">
        <v>1800</v>
      </c>
      <c r="K83" s="6" t="n">
        <v>413</v>
      </c>
      <c r="L83" s="6" t="s">
        <v>843</v>
      </c>
      <c r="M83" s="6" t="n">
        <v>0</v>
      </c>
      <c r="N83" s="9" t="n">
        <v>358</v>
      </c>
      <c r="O83" s="9" t="n">
        <v>0</v>
      </c>
      <c r="P83" s="16" t="n">
        <v>0.2</v>
      </c>
      <c r="Q83" s="6"/>
      <c r="R83" s="6" t="s">
        <v>508</v>
      </c>
      <c r="S83" s="17" t="n">
        <v>2</v>
      </c>
      <c r="T83" s="12" t="s">
        <v>844</v>
      </c>
    </row>
    <row r="84" customFormat="false" ht="15" hidden="false" customHeight="true" outlineLevel="0" collapsed="false">
      <c r="A84" s="6" t="n">
        <v>2020</v>
      </c>
      <c r="B84" s="6" t="n">
        <v>83</v>
      </c>
      <c r="C84" s="7" t="s">
        <v>845</v>
      </c>
      <c r="D84" s="7" t="s">
        <v>846</v>
      </c>
      <c r="E84" s="7" t="s">
        <v>847</v>
      </c>
      <c r="F84" s="7" t="s">
        <v>27</v>
      </c>
      <c r="G84" s="6" t="n">
        <v>5</v>
      </c>
      <c r="H84" s="6" t="n">
        <v>10</v>
      </c>
      <c r="I84" s="6" t="n">
        <v>4</v>
      </c>
      <c r="J84" s="9" t="n">
        <v>1800</v>
      </c>
      <c r="K84" s="6" t="n">
        <v>406</v>
      </c>
      <c r="L84" s="6" t="s">
        <v>538</v>
      </c>
      <c r="M84" s="6" t="n">
        <v>0</v>
      </c>
      <c r="N84" s="9" t="n">
        <v>0</v>
      </c>
      <c r="O84" s="9" t="n">
        <v>0</v>
      </c>
      <c r="P84" s="16" t="n">
        <v>0</v>
      </c>
      <c r="Q84" s="6"/>
      <c r="R84" s="6" t="s">
        <v>508</v>
      </c>
      <c r="S84" s="17" t="n">
        <v>3</v>
      </c>
      <c r="T84" s="11" t="s">
        <v>84</v>
      </c>
    </row>
    <row r="85" customFormat="false" ht="15" hidden="false" customHeight="true" outlineLevel="0" collapsed="false">
      <c r="A85" s="6" t="n">
        <v>2020</v>
      </c>
      <c r="B85" s="6" t="n">
        <v>84</v>
      </c>
      <c r="C85" s="7" t="s">
        <v>848</v>
      </c>
      <c r="D85" s="7" t="s">
        <v>849</v>
      </c>
      <c r="E85" s="7" t="s">
        <v>850</v>
      </c>
      <c r="F85" s="7" t="s">
        <v>37</v>
      </c>
      <c r="G85" s="6" t="n">
        <v>2</v>
      </c>
      <c r="H85" s="6" t="n">
        <v>11</v>
      </c>
      <c r="I85" s="6" t="n">
        <v>4</v>
      </c>
      <c r="J85" s="9" t="n">
        <v>1400</v>
      </c>
      <c r="K85" s="6" t="n">
        <v>458</v>
      </c>
      <c r="L85" s="6" t="s">
        <v>507</v>
      </c>
      <c r="M85" s="6" t="n">
        <v>0</v>
      </c>
      <c r="N85" s="9" t="n">
        <v>0</v>
      </c>
      <c r="O85" s="9" t="n">
        <v>0</v>
      </c>
      <c r="P85" s="16" t="n">
        <v>0</v>
      </c>
      <c r="Q85" s="6"/>
      <c r="R85" s="6" t="s">
        <v>508</v>
      </c>
      <c r="S85" s="17" t="n">
        <v>2</v>
      </c>
      <c r="T85" s="11" t="s">
        <v>851</v>
      </c>
    </row>
    <row r="86" customFormat="false" ht="15" hidden="false" customHeight="true" outlineLevel="0" collapsed="false">
      <c r="A86" s="6" t="n">
        <v>2020</v>
      </c>
      <c r="B86" s="6" t="n">
        <v>85</v>
      </c>
      <c r="C86" s="7" t="s">
        <v>852</v>
      </c>
      <c r="D86" s="7" t="s">
        <v>853</v>
      </c>
      <c r="E86" s="7" t="s">
        <v>172</v>
      </c>
      <c r="F86" s="7" t="s">
        <v>37</v>
      </c>
      <c r="G86" s="6" t="n">
        <v>2</v>
      </c>
      <c r="H86" s="6" t="n">
        <v>17</v>
      </c>
      <c r="I86" s="6" t="n">
        <v>10</v>
      </c>
      <c r="J86" s="9" t="n">
        <v>3000</v>
      </c>
      <c r="K86" s="6" t="n">
        <v>411</v>
      </c>
      <c r="L86" s="6" t="s">
        <v>854</v>
      </c>
      <c r="M86" s="6" t="n">
        <v>3</v>
      </c>
      <c r="N86" s="9" t="n">
        <v>6518</v>
      </c>
      <c r="O86" s="9" t="n">
        <v>0</v>
      </c>
      <c r="P86" s="16" t="n">
        <v>2.17</v>
      </c>
      <c r="Q86" s="6"/>
      <c r="R86" s="6" t="s">
        <v>855</v>
      </c>
      <c r="S86" s="17" t="n">
        <v>2</v>
      </c>
      <c r="T86" s="12" t="s">
        <v>140</v>
      </c>
    </row>
    <row r="87" customFormat="false" ht="15" hidden="false" customHeight="true" outlineLevel="0" collapsed="false">
      <c r="A87" s="6" t="n">
        <v>2020</v>
      </c>
      <c r="B87" s="6" t="n">
        <v>86</v>
      </c>
      <c r="C87" s="7" t="s">
        <v>856</v>
      </c>
      <c r="D87" s="7" t="s">
        <v>857</v>
      </c>
      <c r="E87" s="7" t="s">
        <v>206</v>
      </c>
      <c r="F87" s="7" t="s">
        <v>27</v>
      </c>
      <c r="G87" s="6" t="n">
        <v>3</v>
      </c>
      <c r="H87" s="6" t="n">
        <v>6</v>
      </c>
      <c r="I87" s="6" t="n">
        <v>2</v>
      </c>
      <c r="J87" s="9" t="n">
        <v>2000</v>
      </c>
      <c r="K87" s="6" t="n">
        <v>435</v>
      </c>
      <c r="L87" s="6" t="s">
        <v>858</v>
      </c>
      <c r="M87" s="6" t="n">
        <v>0</v>
      </c>
      <c r="N87" s="9" t="n">
        <v>0</v>
      </c>
      <c r="O87" s="9" t="n">
        <v>3</v>
      </c>
      <c r="P87" s="16" t="n">
        <v>0</v>
      </c>
      <c r="Q87" s="6"/>
      <c r="R87" s="6" t="s">
        <v>508</v>
      </c>
      <c r="S87" s="17" t="n">
        <v>4</v>
      </c>
      <c r="T87" s="11" t="s">
        <v>859</v>
      </c>
    </row>
    <row r="88" customFormat="false" ht="15" hidden="false" customHeight="true" outlineLevel="0" collapsed="false">
      <c r="A88" s="6" t="n">
        <v>2020</v>
      </c>
      <c r="B88" s="6" t="n">
        <v>87</v>
      </c>
      <c r="C88" s="7" t="s">
        <v>860</v>
      </c>
      <c r="D88" s="7" t="s">
        <v>861</v>
      </c>
      <c r="E88" s="6" t="s">
        <v>862</v>
      </c>
      <c r="F88" s="7" t="s">
        <v>27</v>
      </c>
      <c r="G88" s="6" t="n">
        <v>4</v>
      </c>
      <c r="H88" s="6" t="n">
        <v>6</v>
      </c>
      <c r="I88" s="6" t="n">
        <v>1</v>
      </c>
      <c r="J88" s="9" t="n">
        <v>2400</v>
      </c>
      <c r="K88" s="6" t="n">
        <v>431</v>
      </c>
      <c r="L88" s="6" t="s">
        <v>863</v>
      </c>
      <c r="M88" s="6" t="n">
        <v>5</v>
      </c>
      <c r="N88" s="9" t="n">
        <v>180</v>
      </c>
      <c r="O88" s="9" t="n">
        <v>623</v>
      </c>
      <c r="P88" s="16" t="n">
        <v>0.33</v>
      </c>
      <c r="Q88" s="6"/>
      <c r="R88" s="6" t="s">
        <v>864</v>
      </c>
      <c r="S88" s="17" t="n">
        <v>4</v>
      </c>
      <c r="T88" s="11" t="s">
        <v>865</v>
      </c>
    </row>
    <row r="89" customFormat="false" ht="15" hidden="false" customHeight="true" outlineLevel="0" collapsed="false">
      <c r="A89" s="6" t="n">
        <v>2020</v>
      </c>
      <c r="B89" s="6" t="n">
        <v>88</v>
      </c>
      <c r="C89" s="7" t="s">
        <v>866</v>
      </c>
      <c r="D89" s="7" t="s">
        <v>867</v>
      </c>
      <c r="E89" s="7" t="s">
        <v>868</v>
      </c>
      <c r="F89" s="7" t="s">
        <v>27</v>
      </c>
      <c r="G89" s="6" t="n">
        <v>4</v>
      </c>
      <c r="H89" s="6" t="n">
        <v>11</v>
      </c>
      <c r="I89" s="6" t="n">
        <v>5</v>
      </c>
      <c r="J89" s="9" t="n">
        <v>1400</v>
      </c>
      <c r="K89" s="6" t="n">
        <v>420</v>
      </c>
      <c r="L89" s="6" t="s">
        <v>869</v>
      </c>
      <c r="M89" s="6" t="n">
        <v>7</v>
      </c>
      <c r="N89" s="9" t="n">
        <v>0</v>
      </c>
      <c r="O89" s="9" t="n">
        <v>4106</v>
      </c>
      <c r="P89" s="16" t="n">
        <v>2.93</v>
      </c>
      <c r="Q89" s="6"/>
      <c r="R89" s="6" t="s">
        <v>870</v>
      </c>
      <c r="S89" s="17" t="n">
        <v>4</v>
      </c>
      <c r="T89" s="11" t="s">
        <v>871</v>
      </c>
    </row>
    <row r="90" customFormat="false" ht="15" hidden="false" customHeight="true" outlineLevel="0" collapsed="false">
      <c r="A90" s="6" t="n">
        <v>2020</v>
      </c>
      <c r="B90" s="6" t="n">
        <v>89</v>
      </c>
      <c r="C90" s="7" t="s">
        <v>872</v>
      </c>
      <c r="D90" s="7" t="s">
        <v>873</v>
      </c>
      <c r="E90" s="7" t="s">
        <v>874</v>
      </c>
      <c r="F90" s="7" t="s">
        <v>27</v>
      </c>
      <c r="G90" s="6" t="n">
        <v>4</v>
      </c>
      <c r="H90" s="6" t="n">
        <v>15</v>
      </c>
      <c r="I90" s="6" t="n">
        <v>9</v>
      </c>
      <c r="J90" s="9" t="n">
        <v>1400</v>
      </c>
      <c r="K90" s="6" t="n">
        <v>448</v>
      </c>
      <c r="L90" s="6" t="s">
        <v>875</v>
      </c>
      <c r="M90" s="6" t="n">
        <v>8</v>
      </c>
      <c r="N90" s="9" t="n">
        <v>0</v>
      </c>
      <c r="O90" s="9" t="n">
        <v>10101</v>
      </c>
      <c r="P90" s="16" t="n">
        <v>7.21</v>
      </c>
      <c r="Q90" s="6" t="s">
        <v>32</v>
      </c>
      <c r="R90" s="6" t="s">
        <v>876</v>
      </c>
      <c r="S90" s="17" t="n">
        <v>4</v>
      </c>
      <c r="T90" s="11" t="s">
        <v>877</v>
      </c>
    </row>
    <row r="91" customFormat="false" ht="15" hidden="false" customHeight="true" outlineLevel="0" collapsed="false">
      <c r="A91" s="6" t="n">
        <v>2020</v>
      </c>
      <c r="B91" s="6" t="n">
        <v>90</v>
      </c>
      <c r="C91" s="7" t="s">
        <v>878</v>
      </c>
      <c r="D91" s="7" t="s">
        <v>879</v>
      </c>
      <c r="E91" s="7" t="s">
        <v>831</v>
      </c>
      <c r="F91" s="7" t="s">
        <v>37</v>
      </c>
      <c r="G91" s="6" t="n">
        <v>4</v>
      </c>
      <c r="H91" s="6" t="n">
        <v>7</v>
      </c>
      <c r="I91" s="6" t="n">
        <v>4</v>
      </c>
      <c r="J91" s="9" t="n">
        <v>1000</v>
      </c>
      <c r="K91" s="6" t="n">
        <v>443</v>
      </c>
      <c r="L91" s="6" t="s">
        <v>880</v>
      </c>
      <c r="M91" s="6" t="n">
        <v>4</v>
      </c>
      <c r="N91" s="9" t="n">
        <v>0</v>
      </c>
      <c r="O91" s="9" t="n">
        <v>827</v>
      </c>
      <c r="P91" s="16" t="n">
        <v>0.83</v>
      </c>
      <c r="Q91" s="6"/>
      <c r="R91" s="6" t="s">
        <v>881</v>
      </c>
      <c r="S91" s="17" t="n">
        <v>3</v>
      </c>
      <c r="T91" s="12" t="s">
        <v>882</v>
      </c>
    </row>
    <row r="92" customFormat="false" ht="15" hidden="false" customHeight="true" outlineLevel="0" collapsed="false">
      <c r="A92" s="6" t="n">
        <v>2020</v>
      </c>
      <c r="B92" s="6" t="n">
        <v>91</v>
      </c>
      <c r="C92" s="7" t="s">
        <v>883</v>
      </c>
      <c r="D92" s="7" t="s">
        <v>884</v>
      </c>
      <c r="E92" s="7" t="s">
        <v>198</v>
      </c>
      <c r="F92" s="7" t="s">
        <v>37</v>
      </c>
      <c r="G92" s="6" t="n">
        <v>3</v>
      </c>
      <c r="H92" s="6" t="n">
        <v>5</v>
      </c>
      <c r="I92" s="6" t="n">
        <v>1</v>
      </c>
      <c r="J92" s="9" t="n">
        <v>800</v>
      </c>
      <c r="K92" s="6" t="n">
        <v>404</v>
      </c>
      <c r="L92" s="6" t="s">
        <v>885</v>
      </c>
      <c r="M92" s="6" t="n">
        <v>1</v>
      </c>
      <c r="N92" s="9" t="n">
        <v>0</v>
      </c>
      <c r="O92" s="9" t="n">
        <v>480</v>
      </c>
      <c r="P92" s="16" t="n">
        <v>0.6</v>
      </c>
      <c r="Q92" s="6"/>
      <c r="R92" s="7" t="s">
        <v>886</v>
      </c>
      <c r="S92" s="17" t="n">
        <v>2</v>
      </c>
      <c r="T92" s="12" t="s">
        <v>174</v>
      </c>
    </row>
    <row r="93" customFormat="false" ht="15" hidden="false" customHeight="true" outlineLevel="0" collapsed="false">
      <c r="A93" s="6" t="n">
        <v>2020</v>
      </c>
      <c r="B93" s="6" t="n">
        <v>92</v>
      </c>
      <c r="C93" s="7" t="s">
        <v>887</v>
      </c>
      <c r="D93" s="7" t="s">
        <v>888</v>
      </c>
      <c r="E93" s="7" t="s">
        <v>889</v>
      </c>
      <c r="F93" s="7" t="s">
        <v>37</v>
      </c>
      <c r="G93" s="6" t="n">
        <v>4</v>
      </c>
      <c r="H93" s="6" t="n">
        <v>17</v>
      </c>
      <c r="I93" s="6" t="n">
        <v>12</v>
      </c>
      <c r="J93" s="9" t="n">
        <v>700</v>
      </c>
      <c r="K93" s="6" t="n">
        <v>412</v>
      </c>
      <c r="L93" s="6" t="s">
        <v>890</v>
      </c>
      <c r="M93" s="6" t="n">
        <v>1</v>
      </c>
      <c r="N93" s="9" t="n">
        <v>0</v>
      </c>
      <c r="O93" s="9" t="n">
        <v>491</v>
      </c>
      <c r="P93" s="16" t="n">
        <v>0.7</v>
      </c>
      <c r="Q93" s="6"/>
      <c r="R93" s="7" t="s">
        <v>891</v>
      </c>
      <c r="S93" s="17" t="n">
        <v>2</v>
      </c>
      <c r="T93" s="12" t="s">
        <v>188</v>
      </c>
    </row>
    <row r="94" customFormat="false" ht="15" hidden="false" customHeight="true" outlineLevel="0" collapsed="false">
      <c r="A94" s="6" t="n">
        <v>2021</v>
      </c>
      <c r="B94" s="6" t="n">
        <v>1</v>
      </c>
      <c r="C94" s="7" t="s">
        <v>892</v>
      </c>
      <c r="D94" s="7" t="s">
        <v>893</v>
      </c>
      <c r="E94" s="7" t="s">
        <v>26</v>
      </c>
      <c r="F94" s="7" t="s">
        <v>27</v>
      </c>
      <c r="G94" s="6" t="n">
        <v>2</v>
      </c>
      <c r="H94" s="6" t="n">
        <v>13</v>
      </c>
      <c r="I94" s="6" t="n">
        <v>9</v>
      </c>
      <c r="J94" s="9" t="n">
        <v>4800</v>
      </c>
      <c r="K94" s="6" t="n">
        <v>426</v>
      </c>
      <c r="L94" s="6" t="s">
        <v>894</v>
      </c>
      <c r="M94" s="6" t="n">
        <v>7</v>
      </c>
      <c r="N94" s="9" t="n">
        <v>1930</v>
      </c>
      <c r="O94" s="9" t="n">
        <v>1126</v>
      </c>
      <c r="P94" s="16" t="n">
        <v>0.64</v>
      </c>
      <c r="Q94" s="6"/>
      <c r="R94" s="6" t="s">
        <v>895</v>
      </c>
      <c r="S94" s="17" t="n">
        <v>2</v>
      </c>
      <c r="T94" s="11" t="s">
        <v>896</v>
      </c>
    </row>
    <row r="95" customFormat="false" ht="15" hidden="false" customHeight="true" outlineLevel="0" collapsed="false">
      <c r="A95" s="6" t="n">
        <v>2021</v>
      </c>
      <c r="B95" s="6" t="n">
        <v>2</v>
      </c>
      <c r="C95" s="7" t="s">
        <v>897</v>
      </c>
      <c r="D95" s="7" t="s">
        <v>898</v>
      </c>
      <c r="E95" s="7" t="s">
        <v>26</v>
      </c>
      <c r="F95" s="7" t="s">
        <v>27</v>
      </c>
      <c r="G95" s="6" t="n">
        <v>2</v>
      </c>
      <c r="H95" s="6" t="n">
        <v>16</v>
      </c>
      <c r="I95" s="6" t="n">
        <v>8</v>
      </c>
      <c r="J95" s="9" t="n">
        <v>6000</v>
      </c>
      <c r="K95" s="6" t="n">
        <v>483</v>
      </c>
      <c r="L95" s="6" t="s">
        <v>899</v>
      </c>
      <c r="M95" s="6" t="n">
        <v>3</v>
      </c>
      <c r="N95" s="9" t="n">
        <v>2330</v>
      </c>
      <c r="O95" s="9" t="n">
        <v>121</v>
      </c>
      <c r="P95" s="16" t="n">
        <v>0.41</v>
      </c>
      <c r="Q95" s="6"/>
      <c r="R95" s="6" t="s">
        <v>900</v>
      </c>
      <c r="S95" s="17" t="n">
        <v>3</v>
      </c>
      <c r="T95" s="11" t="s">
        <v>901</v>
      </c>
    </row>
    <row r="96" customFormat="false" ht="15" hidden="false" customHeight="true" outlineLevel="0" collapsed="false">
      <c r="A96" s="6" t="n">
        <v>2021</v>
      </c>
      <c r="B96" s="6" t="n">
        <v>3</v>
      </c>
      <c r="C96" s="7" t="s">
        <v>902</v>
      </c>
      <c r="D96" s="7" t="s">
        <v>903</v>
      </c>
      <c r="E96" s="7" t="s">
        <v>26</v>
      </c>
      <c r="F96" s="7" t="s">
        <v>37</v>
      </c>
      <c r="G96" s="6" t="n">
        <v>1</v>
      </c>
      <c r="H96" s="6" t="n">
        <v>14</v>
      </c>
      <c r="I96" s="6" t="n">
        <v>7</v>
      </c>
      <c r="J96" s="9" t="n">
        <v>7000</v>
      </c>
      <c r="K96" s="6" t="n">
        <v>454</v>
      </c>
      <c r="L96" s="6" t="s">
        <v>538</v>
      </c>
      <c r="M96" s="6" t="n">
        <v>0</v>
      </c>
      <c r="N96" s="9" t="n">
        <v>0</v>
      </c>
      <c r="O96" s="9" t="n">
        <v>0</v>
      </c>
      <c r="P96" s="16" t="n">
        <v>0</v>
      </c>
      <c r="Q96" s="6"/>
      <c r="R96" s="6" t="s">
        <v>508</v>
      </c>
      <c r="S96" s="17" t="n">
        <v>2</v>
      </c>
      <c r="T96" s="12" t="s">
        <v>310</v>
      </c>
    </row>
    <row r="97" customFormat="false" ht="15" hidden="false" customHeight="true" outlineLevel="0" collapsed="false">
      <c r="A97" s="6" t="n">
        <v>2021</v>
      </c>
      <c r="B97" s="6" t="n">
        <v>4</v>
      </c>
      <c r="C97" s="7" t="s">
        <v>904</v>
      </c>
      <c r="D97" s="7" t="s">
        <v>905</v>
      </c>
      <c r="E97" s="7" t="s">
        <v>26</v>
      </c>
      <c r="F97" s="7" t="s">
        <v>37</v>
      </c>
      <c r="G97" s="6" t="n">
        <v>2</v>
      </c>
      <c r="H97" s="6" t="n">
        <v>18</v>
      </c>
      <c r="I97" s="6" t="n">
        <v>12</v>
      </c>
      <c r="J97" s="9" t="n">
        <v>7000</v>
      </c>
      <c r="K97" s="6" t="n">
        <v>443</v>
      </c>
      <c r="L97" s="6" t="s">
        <v>906</v>
      </c>
      <c r="M97" s="6" t="n">
        <v>1</v>
      </c>
      <c r="N97" s="9" t="n">
        <v>1845</v>
      </c>
      <c r="O97" s="9" t="n">
        <v>0</v>
      </c>
      <c r="P97" s="16" t="n">
        <v>0.26</v>
      </c>
      <c r="Q97" s="6"/>
      <c r="R97" s="6" t="s">
        <v>907</v>
      </c>
      <c r="S97" s="17" t="n">
        <v>2</v>
      </c>
      <c r="T97" s="12" t="s">
        <v>908</v>
      </c>
    </row>
    <row r="98" customFormat="false" ht="15" hidden="false" customHeight="true" outlineLevel="0" collapsed="false">
      <c r="A98" s="6" t="n">
        <v>2021</v>
      </c>
      <c r="B98" s="6" t="n">
        <v>5</v>
      </c>
      <c r="C98" s="7" t="s">
        <v>909</v>
      </c>
      <c r="D98" s="7" t="s">
        <v>910</v>
      </c>
      <c r="E98" s="7" t="s">
        <v>26</v>
      </c>
      <c r="F98" s="7" t="s">
        <v>37</v>
      </c>
      <c r="G98" s="6" t="n">
        <v>3</v>
      </c>
      <c r="H98" s="6" t="n">
        <v>7</v>
      </c>
      <c r="I98" s="6" t="n">
        <v>1</v>
      </c>
      <c r="J98" s="9" t="n">
        <v>5000</v>
      </c>
      <c r="K98" s="6" t="n">
        <v>423</v>
      </c>
      <c r="L98" s="6" t="s">
        <v>507</v>
      </c>
      <c r="M98" s="6" t="n">
        <v>0</v>
      </c>
      <c r="N98" s="9" t="n">
        <v>0</v>
      </c>
      <c r="O98" s="9" t="n">
        <v>0</v>
      </c>
      <c r="P98" s="16" t="n">
        <v>0</v>
      </c>
      <c r="Q98" s="6"/>
      <c r="R98" s="6" t="s">
        <v>508</v>
      </c>
      <c r="S98" s="17" t="n">
        <v>3</v>
      </c>
      <c r="T98" s="12" t="s">
        <v>117</v>
      </c>
    </row>
    <row r="99" customFormat="false" ht="15" hidden="false" customHeight="true" outlineLevel="0" collapsed="false">
      <c r="A99" s="6" t="n">
        <v>2021</v>
      </c>
      <c r="B99" s="6" t="n">
        <v>6</v>
      </c>
      <c r="C99" s="7" t="s">
        <v>911</v>
      </c>
      <c r="D99" s="7" t="s">
        <v>912</v>
      </c>
      <c r="E99" s="7" t="s">
        <v>227</v>
      </c>
      <c r="F99" s="7" t="s">
        <v>27</v>
      </c>
      <c r="G99" s="6" t="n">
        <v>5</v>
      </c>
      <c r="H99" s="6" t="n">
        <v>11</v>
      </c>
      <c r="I99" s="6" t="n">
        <v>6</v>
      </c>
      <c r="J99" s="9" t="n">
        <v>3400</v>
      </c>
      <c r="K99" s="6" t="n">
        <v>477</v>
      </c>
      <c r="L99" s="6" t="s">
        <v>913</v>
      </c>
      <c r="M99" s="6" t="n">
        <v>1</v>
      </c>
      <c r="N99" s="9" t="n">
        <v>140</v>
      </c>
      <c r="O99" s="9" t="n">
        <v>196</v>
      </c>
      <c r="P99" s="16" t="n">
        <v>0.1</v>
      </c>
      <c r="Q99" s="6"/>
      <c r="R99" s="6" t="s">
        <v>914</v>
      </c>
      <c r="S99" s="17" t="n">
        <v>5</v>
      </c>
      <c r="T99" s="11" t="s">
        <v>915</v>
      </c>
    </row>
    <row r="100" customFormat="false" ht="15" hidden="false" customHeight="true" outlineLevel="0" collapsed="false">
      <c r="A100" s="6" t="n">
        <v>2021</v>
      </c>
      <c r="B100" s="6" t="n">
        <v>7</v>
      </c>
      <c r="C100" s="7" t="s">
        <v>916</v>
      </c>
      <c r="D100" s="7" t="s">
        <v>917</v>
      </c>
      <c r="E100" s="7" t="s">
        <v>227</v>
      </c>
      <c r="F100" s="7" t="s">
        <v>37</v>
      </c>
      <c r="G100" s="6" t="n">
        <v>4</v>
      </c>
      <c r="H100" s="6" t="n">
        <v>10</v>
      </c>
      <c r="I100" s="6" t="n">
        <v>5</v>
      </c>
      <c r="J100" s="9" t="n">
        <v>3000</v>
      </c>
      <c r="K100" s="6" t="n">
        <v>471</v>
      </c>
      <c r="L100" s="6" t="s">
        <v>918</v>
      </c>
      <c r="M100" s="6" t="n">
        <v>0</v>
      </c>
      <c r="N100" s="9" t="n">
        <v>735</v>
      </c>
      <c r="O100" s="9" t="n">
        <v>0</v>
      </c>
      <c r="P100" s="16" t="n">
        <v>0.24</v>
      </c>
      <c r="Q100" s="6"/>
      <c r="R100" s="6" t="s">
        <v>508</v>
      </c>
      <c r="S100" s="17" t="n">
        <v>5</v>
      </c>
      <c r="T100" s="12" t="s">
        <v>919</v>
      </c>
    </row>
    <row r="101" customFormat="false" ht="15" hidden="false" customHeight="true" outlineLevel="0" collapsed="false">
      <c r="A101" s="6" t="n">
        <v>2021</v>
      </c>
      <c r="B101" s="6" t="n">
        <v>8</v>
      </c>
      <c r="C101" s="7" t="s">
        <v>920</v>
      </c>
      <c r="D101" s="7" t="s">
        <v>921</v>
      </c>
      <c r="E101" s="7" t="s">
        <v>89</v>
      </c>
      <c r="F101" s="7" t="s">
        <v>27</v>
      </c>
      <c r="G101" s="6" t="n">
        <v>2</v>
      </c>
      <c r="H101" s="6" t="n">
        <v>10</v>
      </c>
      <c r="I101" s="6" t="n">
        <v>4</v>
      </c>
      <c r="J101" s="9" t="n">
        <v>5000</v>
      </c>
      <c r="K101" s="6" t="n">
        <v>445</v>
      </c>
      <c r="L101" s="6" t="s">
        <v>922</v>
      </c>
      <c r="M101" s="6" t="n">
        <v>1</v>
      </c>
      <c r="N101" s="9" t="n">
        <v>2581</v>
      </c>
      <c r="O101" s="9" t="n">
        <v>0</v>
      </c>
      <c r="P101" s="16" t="n">
        <v>0.52</v>
      </c>
      <c r="Q101" s="6"/>
      <c r="R101" s="6" t="s">
        <v>907</v>
      </c>
      <c r="S101" s="17" t="n">
        <v>5</v>
      </c>
      <c r="T101" s="11" t="s">
        <v>923</v>
      </c>
    </row>
    <row r="102" customFormat="false" ht="15" hidden="false" customHeight="true" outlineLevel="0" collapsed="false">
      <c r="A102" s="6" t="n">
        <v>2021</v>
      </c>
      <c r="B102" s="6" t="n">
        <v>9</v>
      </c>
      <c r="C102" s="7" t="s">
        <v>924</v>
      </c>
      <c r="D102" s="7" t="s">
        <v>925</v>
      </c>
      <c r="E102" s="7" t="s">
        <v>89</v>
      </c>
      <c r="F102" s="7" t="s">
        <v>27</v>
      </c>
      <c r="G102" s="6" t="n">
        <v>3</v>
      </c>
      <c r="H102" s="6" t="n">
        <v>9</v>
      </c>
      <c r="I102" s="6" t="n">
        <v>3</v>
      </c>
      <c r="J102" s="9" t="n">
        <v>8000</v>
      </c>
      <c r="K102" s="6" t="n">
        <v>476</v>
      </c>
      <c r="L102" s="6" t="s">
        <v>926</v>
      </c>
      <c r="M102" s="6" t="n">
        <v>2</v>
      </c>
      <c r="N102" s="9" t="n">
        <v>2193</v>
      </c>
      <c r="O102" s="9" t="n">
        <v>0</v>
      </c>
      <c r="P102" s="16" t="n">
        <v>0.27</v>
      </c>
      <c r="Q102" s="6"/>
      <c r="R102" s="6" t="s">
        <v>927</v>
      </c>
      <c r="S102" s="17" t="n">
        <v>5</v>
      </c>
      <c r="T102" s="11" t="s">
        <v>928</v>
      </c>
    </row>
    <row r="103" customFormat="false" ht="15" hidden="false" customHeight="true" outlineLevel="0" collapsed="false">
      <c r="A103" s="6" t="n">
        <v>2021</v>
      </c>
      <c r="B103" s="6" t="n">
        <v>10</v>
      </c>
      <c r="C103" s="7" t="s">
        <v>929</v>
      </c>
      <c r="D103" s="7" t="s">
        <v>930</v>
      </c>
      <c r="E103" s="7" t="s">
        <v>89</v>
      </c>
      <c r="F103" s="7" t="s">
        <v>37</v>
      </c>
      <c r="G103" s="6" t="n">
        <v>4</v>
      </c>
      <c r="H103" s="6" t="n">
        <v>8</v>
      </c>
      <c r="I103" s="6" t="n">
        <v>2</v>
      </c>
      <c r="J103" s="9" t="n">
        <v>3600</v>
      </c>
      <c r="K103" s="6" t="n">
        <v>407</v>
      </c>
      <c r="L103" s="6" t="s">
        <v>931</v>
      </c>
      <c r="M103" s="6" t="n">
        <v>3</v>
      </c>
      <c r="N103" s="9" t="n">
        <v>4929</v>
      </c>
      <c r="O103" s="9" t="n">
        <v>0</v>
      </c>
      <c r="P103" s="16" t="n">
        <v>1.37</v>
      </c>
      <c r="Q103" s="6"/>
      <c r="R103" s="6" t="s">
        <v>932</v>
      </c>
      <c r="S103" s="17" t="n">
        <v>4</v>
      </c>
      <c r="T103" s="12" t="s">
        <v>933</v>
      </c>
    </row>
    <row r="104" customFormat="false" ht="15" hidden="false" customHeight="true" outlineLevel="0" collapsed="false">
      <c r="A104" s="6" t="n">
        <v>2021</v>
      </c>
      <c r="B104" s="6" t="n">
        <v>11</v>
      </c>
      <c r="C104" s="7" t="s">
        <v>934</v>
      </c>
      <c r="D104" s="7" t="s">
        <v>935</v>
      </c>
      <c r="E104" s="7" t="s">
        <v>299</v>
      </c>
      <c r="F104" s="7" t="s">
        <v>27</v>
      </c>
      <c r="G104" s="6" t="n">
        <v>4</v>
      </c>
      <c r="H104" s="6" t="n">
        <v>11</v>
      </c>
      <c r="I104" s="6" t="n">
        <v>5</v>
      </c>
      <c r="J104" s="9" t="n">
        <v>4000</v>
      </c>
      <c r="K104" s="6" t="n">
        <v>428</v>
      </c>
      <c r="L104" s="6" t="s">
        <v>936</v>
      </c>
      <c r="M104" s="6" t="n">
        <v>5</v>
      </c>
      <c r="N104" s="9" t="n">
        <v>47217</v>
      </c>
      <c r="O104" s="9" t="n">
        <v>0</v>
      </c>
      <c r="P104" s="16" t="n">
        <v>11.8</v>
      </c>
      <c r="Q104" s="6" t="s">
        <v>32</v>
      </c>
      <c r="R104" s="6" t="s">
        <v>937</v>
      </c>
      <c r="S104" s="17" t="n">
        <v>5</v>
      </c>
      <c r="T104" s="11" t="s">
        <v>938</v>
      </c>
    </row>
    <row r="105" customFormat="false" ht="15" hidden="false" customHeight="true" outlineLevel="0" collapsed="false">
      <c r="A105" s="6" t="n">
        <v>2021</v>
      </c>
      <c r="B105" s="6" t="n">
        <v>12</v>
      </c>
      <c r="C105" s="7" t="s">
        <v>939</v>
      </c>
      <c r="D105" s="7" t="s">
        <v>940</v>
      </c>
      <c r="E105" s="7" t="s">
        <v>299</v>
      </c>
      <c r="F105" s="7" t="s">
        <v>37</v>
      </c>
      <c r="G105" s="6" t="n">
        <v>2</v>
      </c>
      <c r="H105" s="6" t="n">
        <v>11</v>
      </c>
      <c r="I105" s="6" t="n">
        <v>4</v>
      </c>
      <c r="J105" s="9" t="n">
        <v>3600</v>
      </c>
      <c r="K105" s="6" t="n">
        <v>473</v>
      </c>
      <c r="L105" s="6" t="s">
        <v>941</v>
      </c>
      <c r="M105" s="6" t="n">
        <v>0</v>
      </c>
      <c r="N105" s="9" t="n">
        <v>355</v>
      </c>
      <c r="O105" s="9" t="n">
        <v>0</v>
      </c>
      <c r="P105" s="16" t="n">
        <v>0.1</v>
      </c>
      <c r="Q105" s="6"/>
      <c r="R105" s="6" t="s">
        <v>508</v>
      </c>
      <c r="S105" s="17" t="n">
        <v>4</v>
      </c>
      <c r="T105" s="12" t="s">
        <v>942</v>
      </c>
    </row>
    <row r="106" customFormat="false" ht="15" hidden="false" customHeight="true" outlineLevel="0" collapsed="false">
      <c r="A106" s="6" t="n">
        <v>2021</v>
      </c>
      <c r="B106" s="6" t="n">
        <v>13</v>
      </c>
      <c r="C106" s="7" t="s">
        <v>943</v>
      </c>
      <c r="D106" s="7" t="s">
        <v>944</v>
      </c>
      <c r="E106" s="7" t="s">
        <v>135</v>
      </c>
      <c r="F106" s="7" t="s">
        <v>27</v>
      </c>
      <c r="G106" s="6" t="n">
        <v>2</v>
      </c>
      <c r="H106" s="6" t="n">
        <v>7</v>
      </c>
      <c r="I106" s="6" t="n">
        <v>1</v>
      </c>
      <c r="J106" s="9" t="n">
        <v>3000</v>
      </c>
      <c r="K106" s="6" t="n">
        <v>458</v>
      </c>
      <c r="L106" s="6" t="s">
        <v>945</v>
      </c>
      <c r="M106" s="6" t="n">
        <v>0</v>
      </c>
      <c r="N106" s="9" t="n">
        <v>0</v>
      </c>
      <c r="O106" s="9" t="n">
        <v>31</v>
      </c>
      <c r="P106" s="16" t="n">
        <v>0.01</v>
      </c>
      <c r="Q106" s="6"/>
      <c r="R106" s="6" t="s">
        <v>508</v>
      </c>
      <c r="S106" s="17" t="n">
        <v>4</v>
      </c>
      <c r="T106" s="11" t="s">
        <v>946</v>
      </c>
    </row>
    <row r="107" customFormat="false" ht="15" hidden="false" customHeight="true" outlineLevel="0" collapsed="false">
      <c r="A107" s="6" t="n">
        <v>2021</v>
      </c>
      <c r="B107" s="6" t="n">
        <v>14</v>
      </c>
      <c r="C107" s="7" t="s">
        <v>947</v>
      </c>
      <c r="D107" s="7" t="s">
        <v>948</v>
      </c>
      <c r="E107" s="7" t="s">
        <v>135</v>
      </c>
      <c r="F107" s="7" t="s">
        <v>27</v>
      </c>
      <c r="G107" s="6" t="n">
        <v>2</v>
      </c>
      <c r="H107" s="6" t="n">
        <v>8</v>
      </c>
      <c r="I107" s="6" t="n">
        <v>2</v>
      </c>
      <c r="J107" s="9" t="n">
        <v>6000</v>
      </c>
      <c r="K107" s="6" t="n">
        <v>441</v>
      </c>
      <c r="L107" s="6" t="s">
        <v>949</v>
      </c>
      <c r="M107" s="6" t="n">
        <v>3</v>
      </c>
      <c r="N107" s="9" t="n">
        <v>4387</v>
      </c>
      <c r="O107" s="9" t="n">
        <v>0</v>
      </c>
      <c r="P107" s="16" t="n">
        <v>0.73</v>
      </c>
      <c r="Q107" s="6"/>
      <c r="R107" s="6" t="s">
        <v>950</v>
      </c>
      <c r="S107" s="17" t="n">
        <v>4</v>
      </c>
      <c r="T107" s="11" t="s">
        <v>951</v>
      </c>
    </row>
    <row r="108" customFormat="false" ht="15" hidden="false" customHeight="true" outlineLevel="0" collapsed="false">
      <c r="A108" s="6" t="n">
        <v>2021</v>
      </c>
      <c r="B108" s="6" t="n">
        <v>15</v>
      </c>
      <c r="C108" s="7" t="s">
        <v>952</v>
      </c>
      <c r="D108" s="7" t="s">
        <v>953</v>
      </c>
      <c r="E108" s="7" t="s">
        <v>135</v>
      </c>
      <c r="F108" s="7" t="s">
        <v>37</v>
      </c>
      <c r="G108" s="6" t="n">
        <v>3</v>
      </c>
      <c r="H108" s="6" t="n">
        <v>11</v>
      </c>
      <c r="I108" s="6" t="n">
        <v>5</v>
      </c>
      <c r="J108" s="9" t="n">
        <v>5600</v>
      </c>
      <c r="K108" s="6" t="n">
        <v>476</v>
      </c>
      <c r="L108" s="6" t="s">
        <v>954</v>
      </c>
      <c r="M108" s="6" t="n">
        <v>3</v>
      </c>
      <c r="N108" s="9" t="n">
        <v>10030</v>
      </c>
      <c r="O108" s="9" t="n">
        <v>0</v>
      </c>
      <c r="P108" s="16" t="n">
        <v>1.79</v>
      </c>
      <c r="Q108" s="6"/>
      <c r="R108" s="6" t="s">
        <v>955</v>
      </c>
      <c r="S108" s="17" t="n">
        <v>5</v>
      </c>
      <c r="T108" s="12" t="s">
        <v>956</v>
      </c>
    </row>
    <row r="109" customFormat="false" ht="15" hidden="false" customHeight="true" outlineLevel="0" collapsed="false">
      <c r="A109" s="6" t="n">
        <v>2021</v>
      </c>
      <c r="B109" s="6" t="n">
        <v>16</v>
      </c>
      <c r="C109" s="7" t="s">
        <v>957</v>
      </c>
      <c r="D109" s="7" t="s">
        <v>958</v>
      </c>
      <c r="E109" s="7" t="s">
        <v>135</v>
      </c>
      <c r="F109" s="7" t="s">
        <v>37</v>
      </c>
      <c r="G109" s="6" t="n">
        <v>4</v>
      </c>
      <c r="H109" s="6" t="n">
        <v>11</v>
      </c>
      <c r="I109" s="6" t="n">
        <v>5</v>
      </c>
      <c r="J109" s="9" t="n">
        <v>2400</v>
      </c>
      <c r="K109" s="6" t="n">
        <v>403</v>
      </c>
      <c r="L109" s="6" t="s">
        <v>959</v>
      </c>
      <c r="M109" s="6" t="n">
        <v>0</v>
      </c>
      <c r="N109" s="9" t="n">
        <v>0</v>
      </c>
      <c r="O109" s="9" t="n">
        <v>52</v>
      </c>
      <c r="P109" s="16" t="n">
        <v>0.02</v>
      </c>
      <c r="Q109" s="6"/>
      <c r="R109" s="6" t="s">
        <v>508</v>
      </c>
      <c r="S109" s="17" t="n">
        <v>2</v>
      </c>
      <c r="T109" s="12" t="s">
        <v>960</v>
      </c>
    </row>
    <row r="110" customFormat="false" ht="15" hidden="false" customHeight="true" outlineLevel="0" collapsed="false">
      <c r="A110" s="6" t="n">
        <v>2021</v>
      </c>
      <c r="B110" s="6" t="n">
        <v>17</v>
      </c>
      <c r="C110" s="7" t="s">
        <v>961</v>
      </c>
      <c r="D110" s="7" t="s">
        <v>962</v>
      </c>
      <c r="E110" s="7" t="s">
        <v>159</v>
      </c>
      <c r="F110" s="7" t="s">
        <v>27</v>
      </c>
      <c r="G110" s="6" t="n">
        <v>4</v>
      </c>
      <c r="H110" s="6" t="n">
        <v>11</v>
      </c>
      <c r="I110" s="6" t="n">
        <v>7</v>
      </c>
      <c r="J110" s="9" t="n">
        <v>3000</v>
      </c>
      <c r="K110" s="6" t="n">
        <v>434</v>
      </c>
      <c r="L110" s="6" t="s">
        <v>963</v>
      </c>
      <c r="M110" s="6" t="n">
        <v>3</v>
      </c>
      <c r="N110" s="9" t="n">
        <v>3906</v>
      </c>
      <c r="O110" s="9" t="n">
        <v>0</v>
      </c>
      <c r="P110" s="16" t="n">
        <v>1.3</v>
      </c>
      <c r="Q110" s="6"/>
      <c r="R110" s="6" t="s">
        <v>964</v>
      </c>
      <c r="S110" s="17" t="n">
        <v>6</v>
      </c>
      <c r="T110" s="11" t="s">
        <v>965</v>
      </c>
    </row>
    <row r="111" customFormat="false" ht="15" hidden="false" customHeight="true" outlineLevel="0" collapsed="false">
      <c r="A111" s="6" t="n">
        <v>2021</v>
      </c>
      <c r="B111" s="6" t="n">
        <v>18</v>
      </c>
      <c r="C111" s="7" t="s">
        <v>966</v>
      </c>
      <c r="D111" s="7" t="s">
        <v>967</v>
      </c>
      <c r="E111" s="7" t="s">
        <v>159</v>
      </c>
      <c r="F111" s="7" t="s">
        <v>37</v>
      </c>
      <c r="G111" s="6" t="n">
        <v>1</v>
      </c>
      <c r="H111" s="6" t="n">
        <v>14</v>
      </c>
      <c r="I111" s="6" t="n">
        <v>8</v>
      </c>
      <c r="J111" s="9" t="n">
        <v>2000</v>
      </c>
      <c r="K111" s="6" t="n">
        <v>431</v>
      </c>
      <c r="L111" s="6" t="s">
        <v>968</v>
      </c>
      <c r="M111" s="6" t="n">
        <v>5</v>
      </c>
      <c r="N111" s="9" t="n">
        <v>208</v>
      </c>
      <c r="O111" s="9" t="n">
        <v>1611</v>
      </c>
      <c r="P111" s="16" t="n">
        <v>0.91</v>
      </c>
      <c r="Q111" s="6"/>
      <c r="R111" s="7" t="s">
        <v>969</v>
      </c>
      <c r="S111" s="17" t="n">
        <v>2</v>
      </c>
      <c r="T111" s="12" t="s">
        <v>970</v>
      </c>
    </row>
    <row r="112" customFormat="false" ht="15" hidden="false" customHeight="true" outlineLevel="0" collapsed="false">
      <c r="A112" s="6" t="n">
        <v>2021</v>
      </c>
      <c r="B112" s="6" t="n">
        <v>19</v>
      </c>
      <c r="C112" s="7" t="s">
        <v>971</v>
      </c>
      <c r="D112" s="7" t="s">
        <v>972</v>
      </c>
      <c r="E112" s="7" t="s">
        <v>159</v>
      </c>
      <c r="F112" s="7" t="s">
        <v>37</v>
      </c>
      <c r="G112" s="6" t="n">
        <v>2</v>
      </c>
      <c r="H112" s="6" t="n">
        <v>14</v>
      </c>
      <c r="I112" s="6" t="n">
        <v>8</v>
      </c>
      <c r="J112" s="9" t="n">
        <v>2600</v>
      </c>
      <c r="K112" s="6" t="n">
        <v>500</v>
      </c>
      <c r="L112" s="6" t="s">
        <v>611</v>
      </c>
      <c r="M112" s="6" t="n">
        <v>0</v>
      </c>
      <c r="N112" s="9" t="n">
        <v>0</v>
      </c>
      <c r="O112" s="9" t="n">
        <v>0</v>
      </c>
      <c r="P112" s="16" t="n">
        <v>0</v>
      </c>
      <c r="Q112" s="6"/>
      <c r="R112" s="6" t="s">
        <v>508</v>
      </c>
      <c r="S112" s="17" t="n">
        <v>2</v>
      </c>
      <c r="T112" s="11" t="s">
        <v>973</v>
      </c>
    </row>
    <row r="113" customFormat="false" ht="15" hidden="false" customHeight="true" outlineLevel="0" collapsed="false">
      <c r="A113" s="6" t="n">
        <v>2021</v>
      </c>
      <c r="B113" s="6" t="n">
        <v>20</v>
      </c>
      <c r="C113" s="7" t="s">
        <v>974</v>
      </c>
      <c r="D113" s="7" t="s">
        <v>975</v>
      </c>
      <c r="E113" s="7" t="s">
        <v>151</v>
      </c>
      <c r="F113" s="7" t="s">
        <v>27</v>
      </c>
      <c r="G113" s="6" t="n">
        <v>3</v>
      </c>
      <c r="H113" s="6" t="n">
        <v>10</v>
      </c>
      <c r="I113" s="6" t="n">
        <v>6</v>
      </c>
      <c r="J113" s="9" t="n">
        <v>3000</v>
      </c>
      <c r="K113" s="6" t="n">
        <v>454</v>
      </c>
      <c r="L113" s="6" t="s">
        <v>976</v>
      </c>
      <c r="M113" s="6" t="n">
        <v>6</v>
      </c>
      <c r="N113" s="9" t="n">
        <v>0</v>
      </c>
      <c r="O113" s="9" t="n">
        <v>1244</v>
      </c>
      <c r="P113" s="16" t="n">
        <v>0.41</v>
      </c>
      <c r="Q113" s="6"/>
      <c r="R113" s="7" t="s">
        <v>977</v>
      </c>
      <c r="S113" s="17" t="n">
        <v>6</v>
      </c>
      <c r="T113" s="11" t="s">
        <v>978</v>
      </c>
    </row>
    <row r="114" customFormat="false" ht="15" hidden="false" customHeight="true" outlineLevel="0" collapsed="false">
      <c r="A114" s="6" t="n">
        <v>2021</v>
      </c>
      <c r="B114" s="6" t="n">
        <v>21</v>
      </c>
      <c r="C114" s="7" t="s">
        <v>979</v>
      </c>
      <c r="D114" s="7" t="s">
        <v>980</v>
      </c>
      <c r="E114" s="7" t="s">
        <v>151</v>
      </c>
      <c r="F114" s="7" t="s">
        <v>37</v>
      </c>
      <c r="G114" s="6" t="n">
        <v>1</v>
      </c>
      <c r="H114" s="6" t="n">
        <v>8</v>
      </c>
      <c r="I114" s="6" t="n">
        <v>2</v>
      </c>
      <c r="J114" s="9" t="n">
        <v>2000</v>
      </c>
      <c r="K114" s="6" t="n">
        <v>468</v>
      </c>
      <c r="L114" s="6" t="s">
        <v>981</v>
      </c>
      <c r="M114" s="6" t="n">
        <v>2</v>
      </c>
      <c r="N114" s="9" t="n">
        <v>3345</v>
      </c>
      <c r="O114" s="9" t="n">
        <v>0</v>
      </c>
      <c r="P114" s="16" t="n">
        <v>1.67</v>
      </c>
      <c r="Q114" s="6"/>
      <c r="R114" s="6" t="s">
        <v>982</v>
      </c>
      <c r="S114" s="17" t="n">
        <v>2</v>
      </c>
      <c r="T114" s="11" t="s">
        <v>983</v>
      </c>
    </row>
    <row r="115" customFormat="false" ht="15" hidden="false" customHeight="true" outlineLevel="0" collapsed="false">
      <c r="A115" s="6" t="n">
        <v>2021</v>
      </c>
      <c r="B115" s="6" t="n">
        <v>22</v>
      </c>
      <c r="C115" s="7" t="s">
        <v>984</v>
      </c>
      <c r="D115" s="7" t="s">
        <v>985</v>
      </c>
      <c r="E115" s="7" t="s">
        <v>151</v>
      </c>
      <c r="F115" s="7" t="s">
        <v>37</v>
      </c>
      <c r="G115" s="6" t="n">
        <v>1</v>
      </c>
      <c r="H115" s="6" t="n">
        <v>14</v>
      </c>
      <c r="I115" s="6" t="n">
        <v>9</v>
      </c>
      <c r="J115" s="9" t="n">
        <v>2400</v>
      </c>
      <c r="K115" s="6" t="n">
        <v>518</v>
      </c>
      <c r="L115" s="6" t="s">
        <v>986</v>
      </c>
      <c r="M115" s="6" t="n">
        <v>6</v>
      </c>
      <c r="N115" s="9" t="n">
        <v>3977</v>
      </c>
      <c r="O115" s="9" t="n">
        <v>7335</v>
      </c>
      <c r="P115" s="16" t="n">
        <v>4.71</v>
      </c>
      <c r="Q115" s="6" t="s">
        <v>32</v>
      </c>
      <c r="R115" s="6" t="s">
        <v>987</v>
      </c>
      <c r="S115" s="17" t="n">
        <v>2</v>
      </c>
      <c r="T115" s="12" t="s">
        <v>988</v>
      </c>
    </row>
    <row r="116" customFormat="false" ht="15" hidden="false" customHeight="true" outlineLevel="0" collapsed="false">
      <c r="A116" s="6" t="n">
        <v>2021</v>
      </c>
      <c r="B116" s="6" t="n">
        <v>23</v>
      </c>
      <c r="C116" s="7" t="s">
        <v>989</v>
      </c>
      <c r="D116" s="7" t="s">
        <v>990</v>
      </c>
      <c r="E116" s="7" t="s">
        <v>151</v>
      </c>
      <c r="F116" s="7" t="s">
        <v>37</v>
      </c>
      <c r="G116" s="6" t="n">
        <v>2</v>
      </c>
      <c r="H116" s="6" t="n">
        <v>6</v>
      </c>
      <c r="I116" s="6" t="n">
        <v>1</v>
      </c>
      <c r="J116" s="9" t="n">
        <v>2200</v>
      </c>
      <c r="K116" s="6" t="n">
        <v>438</v>
      </c>
      <c r="L116" s="6" t="s">
        <v>991</v>
      </c>
      <c r="M116" s="6" t="n">
        <v>2</v>
      </c>
      <c r="N116" s="9" t="n">
        <v>2908</v>
      </c>
      <c r="O116" s="9" t="n">
        <v>0</v>
      </c>
      <c r="P116" s="16" t="n">
        <v>1.32</v>
      </c>
      <c r="Q116" s="6"/>
      <c r="R116" s="6" t="s">
        <v>992</v>
      </c>
      <c r="S116" s="17" t="n">
        <v>2</v>
      </c>
      <c r="T116" s="12" t="s">
        <v>993</v>
      </c>
    </row>
    <row r="117" customFormat="false" ht="15" hidden="false" customHeight="true" outlineLevel="0" collapsed="false">
      <c r="A117" s="6" t="n">
        <v>2021</v>
      </c>
      <c r="B117" s="6" t="n">
        <v>24</v>
      </c>
      <c r="C117" s="7" t="s">
        <v>994</v>
      </c>
      <c r="D117" s="7" t="s">
        <v>995</v>
      </c>
      <c r="E117" s="7" t="s">
        <v>63</v>
      </c>
      <c r="F117" s="7" t="s">
        <v>27</v>
      </c>
      <c r="G117" s="6" t="n">
        <v>3</v>
      </c>
      <c r="H117" s="6" t="n">
        <v>9</v>
      </c>
      <c r="I117" s="6" t="n">
        <v>3</v>
      </c>
      <c r="J117" s="9" t="n">
        <v>3400</v>
      </c>
      <c r="K117" s="6" t="n">
        <v>506</v>
      </c>
      <c r="L117" s="6" t="s">
        <v>996</v>
      </c>
      <c r="M117" s="6" t="n">
        <v>3</v>
      </c>
      <c r="N117" s="9" t="n">
        <v>7402</v>
      </c>
      <c r="O117" s="9" t="n">
        <v>0</v>
      </c>
      <c r="P117" s="16" t="n">
        <v>2.18</v>
      </c>
      <c r="Q117" s="6" t="s">
        <v>32</v>
      </c>
      <c r="R117" s="6" t="s">
        <v>997</v>
      </c>
      <c r="S117" s="17" t="n">
        <v>6</v>
      </c>
      <c r="T117" s="11" t="s">
        <v>998</v>
      </c>
    </row>
    <row r="118" customFormat="false" ht="15" hidden="false" customHeight="true" outlineLevel="0" collapsed="false">
      <c r="A118" s="6" t="n">
        <v>2021</v>
      </c>
      <c r="B118" s="6" t="n">
        <v>25</v>
      </c>
      <c r="C118" s="7" t="s">
        <v>999</v>
      </c>
      <c r="D118" s="7" t="s">
        <v>1000</v>
      </c>
      <c r="E118" s="7" t="s">
        <v>63</v>
      </c>
      <c r="F118" s="7" t="s">
        <v>37</v>
      </c>
      <c r="G118" s="6" t="n">
        <v>3</v>
      </c>
      <c r="H118" s="6" t="n">
        <v>10</v>
      </c>
      <c r="I118" s="6" t="n">
        <v>5</v>
      </c>
      <c r="J118" s="9" t="n">
        <v>2800</v>
      </c>
      <c r="K118" s="6" t="n">
        <v>420</v>
      </c>
      <c r="L118" s="6" t="s">
        <v>1001</v>
      </c>
      <c r="M118" s="6" t="n">
        <v>1</v>
      </c>
      <c r="N118" s="9" t="n">
        <v>1592</v>
      </c>
      <c r="O118" s="9" t="n">
        <v>0</v>
      </c>
      <c r="P118" s="16" t="n">
        <v>0.57</v>
      </c>
      <c r="Q118" s="6"/>
      <c r="R118" s="6" t="s">
        <v>907</v>
      </c>
      <c r="S118" s="17" t="n">
        <v>4</v>
      </c>
      <c r="T118" s="12" t="s">
        <v>1002</v>
      </c>
    </row>
    <row r="119" customFormat="false" ht="15" hidden="false" customHeight="true" outlineLevel="0" collapsed="false">
      <c r="A119" s="6" t="n">
        <v>2021</v>
      </c>
      <c r="B119" s="6" t="n">
        <v>26</v>
      </c>
      <c r="C119" s="7" t="s">
        <v>1003</v>
      </c>
      <c r="D119" s="7" t="s">
        <v>1004</v>
      </c>
      <c r="E119" s="7" t="s">
        <v>1005</v>
      </c>
      <c r="F119" s="7" t="s">
        <v>27</v>
      </c>
      <c r="G119" s="6" t="n">
        <v>4</v>
      </c>
      <c r="H119" s="6" t="n">
        <v>16</v>
      </c>
      <c r="I119" s="6" t="n">
        <v>9</v>
      </c>
      <c r="J119" s="9" t="n">
        <v>4000</v>
      </c>
      <c r="K119" s="6" t="n">
        <v>465</v>
      </c>
      <c r="L119" s="6" t="s">
        <v>1006</v>
      </c>
      <c r="M119" s="6" t="n">
        <v>0</v>
      </c>
      <c r="N119" s="9" t="n">
        <v>280</v>
      </c>
      <c r="O119" s="9" t="n">
        <v>0</v>
      </c>
      <c r="P119" s="16" t="n">
        <v>0.07</v>
      </c>
      <c r="Q119" s="6"/>
      <c r="R119" s="6" t="s">
        <v>508</v>
      </c>
      <c r="S119" s="17" t="n">
        <v>4</v>
      </c>
      <c r="T119" s="11" t="s">
        <v>1007</v>
      </c>
    </row>
    <row r="120" customFormat="false" ht="15" hidden="false" customHeight="true" outlineLevel="0" collapsed="false">
      <c r="A120" s="6" t="n">
        <v>2021</v>
      </c>
      <c r="B120" s="6" t="n">
        <v>27</v>
      </c>
      <c r="C120" s="7" t="s">
        <v>1008</v>
      </c>
      <c r="D120" s="7" t="s">
        <v>1009</v>
      </c>
      <c r="E120" s="7" t="s">
        <v>1005</v>
      </c>
      <c r="F120" s="7" t="s">
        <v>37</v>
      </c>
      <c r="G120" s="6" t="n">
        <v>2</v>
      </c>
      <c r="H120" s="6" t="n">
        <v>19</v>
      </c>
      <c r="I120" s="6" t="n">
        <v>9</v>
      </c>
      <c r="J120" s="9" t="n">
        <v>2000</v>
      </c>
      <c r="K120" s="6" t="n">
        <v>458</v>
      </c>
      <c r="L120" s="6" t="s">
        <v>1010</v>
      </c>
      <c r="M120" s="6" t="n">
        <v>1</v>
      </c>
      <c r="N120" s="9" t="n">
        <v>0</v>
      </c>
      <c r="O120" s="9" t="n">
        <v>159</v>
      </c>
      <c r="P120" s="16" t="n">
        <v>0.08</v>
      </c>
      <c r="Q120" s="6"/>
      <c r="R120" s="6" t="s">
        <v>1011</v>
      </c>
      <c r="S120" s="17" t="n">
        <v>2</v>
      </c>
      <c r="T120" s="12" t="s">
        <v>1012</v>
      </c>
    </row>
    <row r="121" customFormat="false" ht="15" hidden="false" customHeight="true" outlineLevel="0" collapsed="false">
      <c r="A121" s="6" t="n">
        <v>2021</v>
      </c>
      <c r="B121" s="6" t="n">
        <v>28</v>
      </c>
      <c r="C121" s="7" t="s">
        <v>1013</v>
      </c>
      <c r="D121" s="7" t="s">
        <v>1014</v>
      </c>
      <c r="E121" s="7" t="s">
        <v>58</v>
      </c>
      <c r="F121" s="7" t="s">
        <v>27</v>
      </c>
      <c r="G121" s="6" t="n">
        <v>1</v>
      </c>
      <c r="H121" s="6" t="n">
        <v>9</v>
      </c>
      <c r="I121" s="6" t="n">
        <v>1</v>
      </c>
      <c r="J121" s="9" t="n">
        <v>2800</v>
      </c>
      <c r="K121" s="6" t="n">
        <v>441</v>
      </c>
      <c r="L121" s="6" t="s">
        <v>1015</v>
      </c>
      <c r="M121" s="6" t="n">
        <v>5</v>
      </c>
      <c r="N121" s="9" t="n">
        <v>220</v>
      </c>
      <c r="O121" s="9" t="n">
        <v>950</v>
      </c>
      <c r="P121" s="16" t="n">
        <v>0.42</v>
      </c>
      <c r="Q121" s="6"/>
      <c r="R121" s="6" t="s">
        <v>1016</v>
      </c>
      <c r="S121" s="17" t="n">
        <v>5</v>
      </c>
      <c r="T121" s="11" t="s">
        <v>1017</v>
      </c>
    </row>
    <row r="122" customFormat="false" ht="15" hidden="false" customHeight="true" outlineLevel="0" collapsed="false">
      <c r="A122" s="6" t="n">
        <v>2021</v>
      </c>
      <c r="B122" s="6" t="n">
        <v>29</v>
      </c>
      <c r="C122" s="7" t="s">
        <v>1018</v>
      </c>
      <c r="D122" s="7" t="s">
        <v>1019</v>
      </c>
      <c r="E122" s="7" t="s">
        <v>58</v>
      </c>
      <c r="F122" s="7" t="s">
        <v>37</v>
      </c>
      <c r="G122" s="6" t="n">
        <v>4</v>
      </c>
      <c r="H122" s="6" t="n">
        <v>14</v>
      </c>
      <c r="I122" s="6" t="n">
        <v>9</v>
      </c>
      <c r="J122" s="9" t="n">
        <v>2200</v>
      </c>
      <c r="K122" s="6" t="n">
        <v>463</v>
      </c>
      <c r="L122" s="6" t="s">
        <v>599</v>
      </c>
      <c r="M122" s="6" t="n">
        <v>0</v>
      </c>
      <c r="N122" s="9" t="n">
        <v>55</v>
      </c>
      <c r="O122" s="9" t="n">
        <v>0</v>
      </c>
      <c r="P122" s="16" t="n">
        <v>0.03</v>
      </c>
      <c r="Q122" s="6"/>
      <c r="R122" s="6" t="s">
        <v>508</v>
      </c>
      <c r="S122" s="17" t="n">
        <v>3</v>
      </c>
      <c r="T122" s="12" t="s">
        <v>1020</v>
      </c>
    </row>
    <row r="123" customFormat="false" ht="15" hidden="false" customHeight="true" outlineLevel="0" collapsed="false">
      <c r="A123" s="6" t="n">
        <v>2021</v>
      </c>
      <c r="B123" s="6" t="n">
        <v>30</v>
      </c>
      <c r="C123" s="7" t="s">
        <v>1021</v>
      </c>
      <c r="D123" s="7" t="s">
        <v>1022</v>
      </c>
      <c r="E123" s="7" t="s">
        <v>190</v>
      </c>
      <c r="F123" s="7" t="s">
        <v>27</v>
      </c>
      <c r="G123" s="6" t="n">
        <v>2</v>
      </c>
      <c r="H123" s="6" t="n">
        <v>7</v>
      </c>
      <c r="I123" s="6" t="n">
        <v>1</v>
      </c>
      <c r="J123" s="9" t="n">
        <v>3200</v>
      </c>
      <c r="K123" s="6" t="n">
        <v>469</v>
      </c>
      <c r="L123" s="6" t="s">
        <v>1023</v>
      </c>
      <c r="M123" s="6" t="n">
        <v>1</v>
      </c>
      <c r="N123" s="9" t="n">
        <v>303</v>
      </c>
      <c r="O123" s="9" t="n">
        <v>138</v>
      </c>
      <c r="P123" s="16" t="n">
        <v>0.14</v>
      </c>
      <c r="Q123" s="6"/>
      <c r="R123" s="6" t="s">
        <v>1024</v>
      </c>
      <c r="S123" s="17" t="n">
        <v>3</v>
      </c>
      <c r="T123" s="11" t="s">
        <v>1025</v>
      </c>
    </row>
    <row r="124" customFormat="false" ht="15" hidden="false" customHeight="true" outlineLevel="0" collapsed="false">
      <c r="A124" s="6" t="n">
        <v>2021</v>
      </c>
      <c r="B124" s="6" t="n">
        <v>31</v>
      </c>
      <c r="C124" s="7" t="s">
        <v>1026</v>
      </c>
      <c r="D124" s="7" t="s">
        <v>1027</v>
      </c>
      <c r="E124" s="7" t="s">
        <v>364</v>
      </c>
      <c r="F124" s="7" t="s">
        <v>27</v>
      </c>
      <c r="G124" s="6" t="n">
        <v>4</v>
      </c>
      <c r="H124" s="6" t="n">
        <v>12</v>
      </c>
      <c r="I124" s="6" t="n">
        <v>6</v>
      </c>
      <c r="J124" s="9" t="n">
        <v>2400</v>
      </c>
      <c r="K124" s="6" t="n">
        <v>473</v>
      </c>
      <c r="L124" s="6" t="s">
        <v>1028</v>
      </c>
      <c r="M124" s="6" t="n">
        <v>2</v>
      </c>
      <c r="N124" s="9" t="n">
        <v>2030</v>
      </c>
      <c r="O124" s="9" t="n">
        <v>0</v>
      </c>
      <c r="P124" s="16" t="n">
        <v>0.85</v>
      </c>
      <c r="Q124" s="6"/>
      <c r="R124" s="6" t="s">
        <v>1029</v>
      </c>
      <c r="S124" s="17" t="n">
        <v>4</v>
      </c>
      <c r="T124" s="11" t="s">
        <v>1030</v>
      </c>
    </row>
    <row r="125" customFormat="false" ht="15" hidden="false" customHeight="true" outlineLevel="0" collapsed="false">
      <c r="A125" s="6" t="n">
        <v>2021</v>
      </c>
      <c r="B125" s="6" t="n">
        <v>32</v>
      </c>
      <c r="C125" s="7" t="s">
        <v>1031</v>
      </c>
      <c r="D125" s="7" t="s">
        <v>1032</v>
      </c>
      <c r="E125" s="7" t="s">
        <v>1033</v>
      </c>
      <c r="F125" s="7" t="s">
        <v>27</v>
      </c>
      <c r="G125" s="6" t="n">
        <v>3</v>
      </c>
      <c r="H125" s="6" t="n">
        <v>6</v>
      </c>
      <c r="I125" s="6" t="n">
        <v>1</v>
      </c>
      <c r="J125" s="9" t="n">
        <v>2800</v>
      </c>
      <c r="K125" s="6" t="n">
        <v>478</v>
      </c>
      <c r="L125" s="6" t="s">
        <v>1034</v>
      </c>
      <c r="M125" s="6" t="n">
        <v>4</v>
      </c>
      <c r="N125" s="9" t="n">
        <v>65897</v>
      </c>
      <c r="O125" s="9" t="n">
        <v>0</v>
      </c>
      <c r="P125" s="16" t="n">
        <v>23.53</v>
      </c>
      <c r="Q125" s="6" t="s">
        <v>32</v>
      </c>
      <c r="R125" s="6" t="s">
        <v>1035</v>
      </c>
      <c r="S125" s="17" t="n">
        <v>5</v>
      </c>
      <c r="T125" s="11" t="s">
        <v>1036</v>
      </c>
    </row>
    <row r="126" customFormat="false" ht="15" hidden="false" customHeight="true" outlineLevel="0" collapsed="false">
      <c r="A126" s="6" t="n">
        <v>2021</v>
      </c>
      <c r="B126" s="6" t="n">
        <v>33</v>
      </c>
      <c r="C126" s="7" t="s">
        <v>1037</v>
      </c>
      <c r="D126" s="7" t="s">
        <v>1038</v>
      </c>
      <c r="E126" s="7" t="s">
        <v>666</v>
      </c>
      <c r="F126" s="7" t="s">
        <v>37</v>
      </c>
      <c r="G126" s="6" t="n">
        <v>4</v>
      </c>
      <c r="H126" s="6" t="n">
        <v>15</v>
      </c>
      <c r="I126" s="6" t="n">
        <v>9</v>
      </c>
      <c r="J126" s="9" t="n">
        <v>2000</v>
      </c>
      <c r="K126" s="6" t="n">
        <v>439</v>
      </c>
      <c r="L126" s="6" t="s">
        <v>1039</v>
      </c>
      <c r="M126" s="6" t="n">
        <v>1</v>
      </c>
      <c r="N126" s="9" t="n">
        <v>303</v>
      </c>
      <c r="O126" s="9" t="n">
        <v>222</v>
      </c>
      <c r="P126" s="16" t="n">
        <v>0.26</v>
      </c>
      <c r="Q126" s="6"/>
      <c r="R126" s="6" t="s">
        <v>1040</v>
      </c>
      <c r="S126" s="17" t="n">
        <v>3</v>
      </c>
      <c r="T126" s="12" t="s">
        <v>1041</v>
      </c>
    </row>
    <row r="127" customFormat="false" ht="15" hidden="false" customHeight="true" outlineLevel="0" collapsed="false">
      <c r="A127" s="6" t="n">
        <v>2021</v>
      </c>
      <c r="B127" s="6" t="n">
        <v>34</v>
      </c>
      <c r="C127" s="7" t="s">
        <v>1042</v>
      </c>
      <c r="D127" s="7" t="s">
        <v>1043</v>
      </c>
      <c r="E127" s="7" t="s">
        <v>51</v>
      </c>
      <c r="F127" s="7" t="s">
        <v>37</v>
      </c>
      <c r="G127" s="6" t="n">
        <v>5</v>
      </c>
      <c r="H127" s="6" t="n">
        <v>12</v>
      </c>
      <c r="I127" s="6" t="n">
        <v>9</v>
      </c>
      <c r="J127" s="9" t="n">
        <v>3000</v>
      </c>
      <c r="K127" s="6" t="n">
        <v>426</v>
      </c>
      <c r="L127" s="6" t="s">
        <v>1044</v>
      </c>
      <c r="M127" s="6" t="n">
        <v>1</v>
      </c>
      <c r="N127" s="9" t="n">
        <v>1421</v>
      </c>
      <c r="O127" s="9" t="n">
        <v>0</v>
      </c>
      <c r="P127" s="16" t="n">
        <v>0.47</v>
      </c>
      <c r="Q127" s="6"/>
      <c r="R127" s="6" t="s">
        <v>907</v>
      </c>
      <c r="S127" s="17" t="n">
        <v>2</v>
      </c>
      <c r="T127" s="12" t="s">
        <v>140</v>
      </c>
    </row>
    <row r="128" customFormat="false" ht="15" hidden="false" customHeight="true" outlineLevel="0" collapsed="false">
      <c r="A128" s="6" t="n">
        <v>2021</v>
      </c>
      <c r="B128" s="6" t="n">
        <v>35</v>
      </c>
      <c r="C128" s="7" t="s">
        <v>1045</v>
      </c>
      <c r="D128" s="7" t="s">
        <v>1046</v>
      </c>
      <c r="E128" s="7" t="s">
        <v>681</v>
      </c>
      <c r="F128" s="7" t="s">
        <v>37</v>
      </c>
      <c r="G128" s="6" t="n">
        <v>1</v>
      </c>
      <c r="H128" s="6" t="n">
        <v>8</v>
      </c>
      <c r="I128" s="6" t="n">
        <v>2</v>
      </c>
      <c r="J128" s="9" t="n">
        <v>2200</v>
      </c>
      <c r="K128" s="6" t="n">
        <v>415</v>
      </c>
      <c r="L128" s="6" t="s">
        <v>1047</v>
      </c>
      <c r="M128" s="6" t="n">
        <v>0</v>
      </c>
      <c r="N128" s="9" t="n">
        <v>55</v>
      </c>
      <c r="O128" s="9" t="n">
        <v>30</v>
      </c>
      <c r="P128" s="16" t="n">
        <v>0.04</v>
      </c>
      <c r="Q128" s="6"/>
      <c r="R128" s="6" t="s">
        <v>508</v>
      </c>
      <c r="S128" s="17" t="n">
        <v>2</v>
      </c>
      <c r="T128" s="12" t="s">
        <v>844</v>
      </c>
    </row>
    <row r="129" customFormat="false" ht="15" hidden="false" customHeight="true" outlineLevel="0" collapsed="false">
      <c r="A129" s="6" t="n">
        <v>2021</v>
      </c>
      <c r="B129" s="6" t="n">
        <v>36</v>
      </c>
      <c r="C129" s="7" t="s">
        <v>1048</v>
      </c>
      <c r="D129" s="7" t="s">
        <v>1049</v>
      </c>
      <c r="E129" s="7" t="s">
        <v>206</v>
      </c>
      <c r="F129" s="7" t="s">
        <v>37</v>
      </c>
      <c r="G129" s="6" t="n">
        <v>1</v>
      </c>
      <c r="H129" s="6" t="n">
        <v>15</v>
      </c>
      <c r="I129" s="6" t="n">
        <v>9</v>
      </c>
      <c r="J129" s="9" t="n">
        <v>2200</v>
      </c>
      <c r="K129" s="6" t="n">
        <v>478</v>
      </c>
      <c r="L129" s="6" t="s">
        <v>1050</v>
      </c>
      <c r="M129" s="6" t="n">
        <v>4</v>
      </c>
      <c r="N129" s="9" t="n">
        <v>243</v>
      </c>
      <c r="O129" s="9" t="n">
        <v>180</v>
      </c>
      <c r="P129" s="16" t="n">
        <v>0.19</v>
      </c>
      <c r="Q129" s="6"/>
      <c r="R129" s="7" t="s">
        <v>1051</v>
      </c>
      <c r="S129" s="17" t="n">
        <v>2</v>
      </c>
      <c r="T129" s="12" t="s">
        <v>1052</v>
      </c>
    </row>
    <row r="130" customFormat="false" ht="15" hidden="false" customHeight="true" outlineLevel="0" collapsed="false">
      <c r="A130" s="6" t="n">
        <v>2021</v>
      </c>
      <c r="B130" s="6" t="n">
        <v>37</v>
      </c>
      <c r="C130" s="7" t="s">
        <v>1053</v>
      </c>
      <c r="D130" s="7" t="s">
        <v>1054</v>
      </c>
      <c r="E130" s="7" t="s">
        <v>260</v>
      </c>
      <c r="F130" s="7" t="s">
        <v>37</v>
      </c>
      <c r="G130" s="6" t="n">
        <v>5</v>
      </c>
      <c r="H130" s="6" t="n">
        <v>11</v>
      </c>
      <c r="I130" s="6" t="n">
        <v>5</v>
      </c>
      <c r="J130" s="9" t="n">
        <v>2200</v>
      </c>
      <c r="K130" s="6" t="n">
        <v>395</v>
      </c>
      <c r="L130" s="6" t="s">
        <v>1055</v>
      </c>
      <c r="M130" s="6" t="n">
        <v>2</v>
      </c>
      <c r="N130" s="9" t="n">
        <v>2128</v>
      </c>
      <c r="O130" s="9" t="n">
        <v>0</v>
      </c>
      <c r="P130" s="16" t="n">
        <v>0.97</v>
      </c>
      <c r="Q130" s="6"/>
      <c r="R130" s="6" t="s">
        <v>982</v>
      </c>
      <c r="S130" s="17" t="n">
        <v>1</v>
      </c>
      <c r="T130" s="11" t="s">
        <v>1056</v>
      </c>
    </row>
    <row r="131" customFormat="false" ht="15" hidden="false" customHeight="true" outlineLevel="0" collapsed="false">
      <c r="A131" s="6" t="n">
        <v>2021</v>
      </c>
      <c r="B131" s="6" t="n">
        <v>38</v>
      </c>
      <c r="C131" s="7" t="s">
        <v>1057</v>
      </c>
      <c r="D131" s="7" t="s">
        <v>1058</v>
      </c>
      <c r="E131" s="7" t="s">
        <v>363</v>
      </c>
      <c r="F131" s="7" t="s">
        <v>27</v>
      </c>
      <c r="G131" s="6" t="n">
        <v>2</v>
      </c>
      <c r="H131" s="6" t="n">
        <v>8</v>
      </c>
      <c r="I131" s="6" t="n">
        <v>2</v>
      </c>
      <c r="J131" s="9" t="n">
        <v>2000</v>
      </c>
      <c r="K131" s="6" t="n">
        <v>449</v>
      </c>
      <c r="L131" s="6" t="s">
        <v>1059</v>
      </c>
      <c r="M131" s="6" t="n">
        <v>2</v>
      </c>
      <c r="N131" s="9" t="n">
        <v>0</v>
      </c>
      <c r="O131" s="9" t="n">
        <v>92</v>
      </c>
      <c r="P131" s="16" t="n">
        <v>0.05</v>
      </c>
      <c r="Q131" s="6"/>
      <c r="R131" s="6" t="s">
        <v>1060</v>
      </c>
      <c r="S131" s="17" t="n">
        <v>3</v>
      </c>
      <c r="T131" s="11" t="s">
        <v>1061</v>
      </c>
    </row>
    <row r="132" customFormat="false" ht="15" hidden="false" customHeight="true" outlineLevel="0" collapsed="false">
      <c r="A132" s="6" t="n">
        <v>2021</v>
      </c>
      <c r="B132" s="6" t="n">
        <v>39</v>
      </c>
      <c r="C132" s="7" t="s">
        <v>1062</v>
      </c>
      <c r="D132" s="7" t="s">
        <v>1062</v>
      </c>
      <c r="E132" s="7" t="s">
        <v>1063</v>
      </c>
      <c r="F132" s="7" t="s">
        <v>37</v>
      </c>
      <c r="G132" s="6" t="n">
        <v>2</v>
      </c>
      <c r="H132" s="6" t="n">
        <v>8</v>
      </c>
      <c r="I132" s="6" t="n">
        <v>2</v>
      </c>
      <c r="J132" s="9" t="n">
        <v>2400</v>
      </c>
      <c r="K132" s="6" t="n">
        <v>435</v>
      </c>
      <c r="L132" s="6" t="s">
        <v>538</v>
      </c>
      <c r="M132" s="6" t="n">
        <v>0</v>
      </c>
      <c r="N132" s="9" t="n">
        <v>0</v>
      </c>
      <c r="O132" s="9" t="n">
        <v>0</v>
      </c>
      <c r="P132" s="16" t="n">
        <v>0</v>
      </c>
      <c r="Q132" s="6"/>
      <c r="R132" s="6" t="s">
        <v>508</v>
      </c>
      <c r="S132" s="17" t="n">
        <v>3</v>
      </c>
      <c r="T132" s="12" t="s">
        <v>1064</v>
      </c>
    </row>
    <row r="133" customFormat="false" ht="15" hidden="false" customHeight="true" outlineLevel="0" collapsed="false">
      <c r="A133" s="6" t="n">
        <v>2021</v>
      </c>
      <c r="B133" s="6" t="n">
        <v>40</v>
      </c>
      <c r="C133" s="7" t="s">
        <v>1065</v>
      </c>
      <c r="D133" s="7" t="s">
        <v>1066</v>
      </c>
      <c r="E133" s="7" t="s">
        <v>198</v>
      </c>
      <c r="F133" s="7" t="s">
        <v>27</v>
      </c>
      <c r="G133" s="6" t="n">
        <v>1</v>
      </c>
      <c r="H133" s="6" t="n">
        <v>5</v>
      </c>
      <c r="I133" s="6" t="n">
        <v>1</v>
      </c>
      <c r="J133" s="9" t="n">
        <v>2400</v>
      </c>
      <c r="K133" s="6" t="n">
        <v>462</v>
      </c>
      <c r="L133" s="6" t="s">
        <v>507</v>
      </c>
      <c r="M133" s="6" t="n">
        <v>0</v>
      </c>
      <c r="N133" s="9" t="n">
        <v>55</v>
      </c>
      <c r="O133" s="9" t="n">
        <v>0</v>
      </c>
      <c r="P133" s="16" t="n">
        <v>0.02</v>
      </c>
      <c r="Q133" s="6"/>
      <c r="R133" s="6" t="s">
        <v>508</v>
      </c>
      <c r="S133" s="17" t="n">
        <v>3</v>
      </c>
      <c r="T133" s="11" t="s">
        <v>1067</v>
      </c>
    </row>
    <row r="134" customFormat="false" ht="15" hidden="false" customHeight="true" outlineLevel="0" collapsed="false">
      <c r="A134" s="6" t="n">
        <v>2021</v>
      </c>
      <c r="B134" s="6" t="n">
        <v>41</v>
      </c>
      <c r="C134" s="7" t="s">
        <v>1068</v>
      </c>
      <c r="D134" s="7" t="s">
        <v>1069</v>
      </c>
      <c r="E134" s="7" t="s">
        <v>172</v>
      </c>
      <c r="F134" s="7" t="s">
        <v>37</v>
      </c>
      <c r="G134" s="6" t="n">
        <v>2</v>
      </c>
      <c r="H134" s="6" t="n">
        <v>7</v>
      </c>
      <c r="I134" s="6" t="n">
        <v>1</v>
      </c>
      <c r="J134" s="9" t="n">
        <v>2000</v>
      </c>
      <c r="K134" s="6" t="n">
        <v>421</v>
      </c>
      <c r="L134" s="6" t="s">
        <v>611</v>
      </c>
      <c r="M134" s="6" t="n">
        <v>0</v>
      </c>
      <c r="N134" s="9" t="n">
        <v>0</v>
      </c>
      <c r="O134" s="9" t="n">
        <v>0</v>
      </c>
      <c r="P134" s="16" t="n">
        <v>0</v>
      </c>
      <c r="Q134" s="6"/>
      <c r="R134" s="6" t="s">
        <v>508</v>
      </c>
      <c r="S134" s="17" t="n">
        <v>0</v>
      </c>
      <c r="T134" s="11" t="s">
        <v>1070</v>
      </c>
    </row>
    <row r="135" customFormat="false" ht="15" hidden="false" customHeight="true" outlineLevel="0" collapsed="false">
      <c r="A135" s="6" t="n">
        <v>2021</v>
      </c>
      <c r="B135" s="6" t="n">
        <v>42</v>
      </c>
      <c r="C135" s="7" t="s">
        <v>1071</v>
      </c>
      <c r="D135" s="7" t="s">
        <v>1072</v>
      </c>
      <c r="E135" s="6" t="s">
        <v>1073</v>
      </c>
      <c r="F135" s="7" t="s">
        <v>27</v>
      </c>
      <c r="G135" s="6" t="n">
        <v>4</v>
      </c>
      <c r="H135" s="6" t="n">
        <v>9</v>
      </c>
      <c r="I135" s="6" t="n">
        <v>2</v>
      </c>
      <c r="J135" s="9" t="n">
        <v>8000</v>
      </c>
      <c r="K135" s="6" t="n">
        <v>436</v>
      </c>
      <c r="L135" s="6" t="s">
        <v>1074</v>
      </c>
      <c r="M135" s="6" t="n">
        <v>2</v>
      </c>
      <c r="N135" s="9" t="n">
        <v>55</v>
      </c>
      <c r="O135" s="9" t="n">
        <v>70</v>
      </c>
      <c r="P135" s="16" t="n">
        <v>0.02</v>
      </c>
      <c r="Q135" s="6"/>
      <c r="R135" s="6" t="s">
        <v>1075</v>
      </c>
      <c r="S135" s="17" t="n">
        <v>5</v>
      </c>
      <c r="T135" s="11" t="s">
        <v>1076</v>
      </c>
    </row>
    <row r="136" customFormat="false" ht="15" hidden="false" customHeight="true" outlineLevel="0" collapsed="false">
      <c r="A136" s="6" t="n">
        <v>2021</v>
      </c>
      <c r="B136" s="6" t="n">
        <v>43</v>
      </c>
      <c r="C136" s="7" t="s">
        <v>1077</v>
      </c>
      <c r="D136" s="7" t="s">
        <v>1078</v>
      </c>
      <c r="E136" s="6" t="s">
        <v>1073</v>
      </c>
      <c r="F136" s="7" t="s">
        <v>37</v>
      </c>
      <c r="G136" s="6" t="n">
        <v>1</v>
      </c>
      <c r="H136" s="6" t="n">
        <v>7</v>
      </c>
      <c r="I136" s="6" t="n">
        <v>1</v>
      </c>
      <c r="J136" s="9" t="n">
        <v>3000</v>
      </c>
      <c r="K136" s="6" t="n">
        <v>512</v>
      </c>
      <c r="L136" s="6" t="s">
        <v>1079</v>
      </c>
      <c r="M136" s="6" t="n">
        <v>2</v>
      </c>
      <c r="N136" s="9" t="n">
        <v>1750</v>
      </c>
      <c r="O136" s="9" t="n">
        <v>0</v>
      </c>
      <c r="P136" s="16" t="n">
        <v>0.58</v>
      </c>
      <c r="Q136" s="6"/>
      <c r="R136" s="6" t="s">
        <v>900</v>
      </c>
      <c r="S136" s="17" t="n">
        <v>3</v>
      </c>
      <c r="T136" s="12" t="s">
        <v>1080</v>
      </c>
    </row>
    <row r="137" customFormat="false" ht="15" hidden="false" customHeight="true" outlineLevel="0" collapsed="false">
      <c r="A137" s="6" t="n">
        <v>2021</v>
      </c>
      <c r="B137" s="6" t="n">
        <v>44</v>
      </c>
      <c r="C137" s="7" t="s">
        <v>1081</v>
      </c>
      <c r="D137" s="7" t="s">
        <v>1082</v>
      </c>
      <c r="E137" s="7" t="s">
        <v>26</v>
      </c>
      <c r="F137" s="7" t="s">
        <v>27</v>
      </c>
      <c r="G137" s="6" t="n">
        <v>3</v>
      </c>
      <c r="H137" s="6" t="n">
        <v>12</v>
      </c>
      <c r="I137" s="6" t="n">
        <v>7</v>
      </c>
      <c r="J137" s="9" t="n">
        <v>8000</v>
      </c>
      <c r="K137" s="6" t="n">
        <v>489</v>
      </c>
      <c r="L137" s="6" t="s">
        <v>1083</v>
      </c>
      <c r="M137" s="6" t="n">
        <v>1</v>
      </c>
      <c r="N137" s="9" t="n">
        <v>0</v>
      </c>
      <c r="O137" s="9" t="n">
        <v>293</v>
      </c>
      <c r="P137" s="16" t="n">
        <v>0.04</v>
      </c>
      <c r="Q137" s="6"/>
      <c r="R137" s="6" t="s">
        <v>1084</v>
      </c>
      <c r="S137" s="17" t="n">
        <v>4</v>
      </c>
      <c r="T137" s="11" t="s">
        <v>1085</v>
      </c>
    </row>
    <row r="138" customFormat="false" ht="15" hidden="false" customHeight="true" outlineLevel="0" collapsed="false">
      <c r="A138" s="6" t="n">
        <v>2021</v>
      </c>
      <c r="B138" s="6" t="n">
        <v>45</v>
      </c>
      <c r="C138" s="7" t="s">
        <v>1086</v>
      </c>
      <c r="D138" s="7" t="s">
        <v>1087</v>
      </c>
      <c r="E138" s="7" t="s">
        <v>26</v>
      </c>
      <c r="F138" s="7" t="s">
        <v>37</v>
      </c>
      <c r="G138" s="6" t="n">
        <v>2</v>
      </c>
      <c r="H138" s="6" t="n">
        <v>14</v>
      </c>
      <c r="I138" s="6" t="n">
        <v>7</v>
      </c>
      <c r="J138" s="9" t="n">
        <v>4400</v>
      </c>
      <c r="K138" s="6" t="n">
        <v>479</v>
      </c>
      <c r="L138" s="6" t="s">
        <v>538</v>
      </c>
      <c r="M138" s="6" t="n">
        <v>0</v>
      </c>
      <c r="N138" s="9" t="n">
        <v>0</v>
      </c>
      <c r="O138" s="9" t="n">
        <v>0</v>
      </c>
      <c r="P138" s="16" t="n">
        <v>0</v>
      </c>
      <c r="Q138" s="6"/>
      <c r="R138" s="6" t="s">
        <v>508</v>
      </c>
      <c r="S138" s="17" t="n">
        <v>3</v>
      </c>
      <c r="T138" s="12" t="s">
        <v>1088</v>
      </c>
    </row>
    <row r="139" customFormat="false" ht="15" hidden="false" customHeight="true" outlineLevel="0" collapsed="false">
      <c r="A139" s="6" t="n">
        <v>2021</v>
      </c>
      <c r="B139" s="6" t="n">
        <v>46</v>
      </c>
      <c r="C139" s="7" t="s">
        <v>1089</v>
      </c>
      <c r="D139" s="7" t="s">
        <v>1090</v>
      </c>
      <c r="E139" s="7" t="s">
        <v>26</v>
      </c>
      <c r="F139" s="7" t="s">
        <v>37</v>
      </c>
      <c r="G139" s="6" t="n">
        <v>4</v>
      </c>
      <c r="H139" s="6" t="n">
        <v>10</v>
      </c>
      <c r="I139" s="6" t="n">
        <v>4</v>
      </c>
      <c r="J139" s="9" t="n">
        <v>4400</v>
      </c>
      <c r="K139" s="6" t="n">
        <v>431</v>
      </c>
      <c r="L139" s="6" t="s">
        <v>1091</v>
      </c>
      <c r="M139" s="6" t="n">
        <v>4</v>
      </c>
      <c r="N139" s="9" t="n">
        <v>7549</v>
      </c>
      <c r="O139" s="9" t="n">
        <v>0</v>
      </c>
      <c r="P139" s="16" t="n">
        <v>1.72</v>
      </c>
      <c r="Q139" s="6"/>
      <c r="R139" s="6" t="s">
        <v>1092</v>
      </c>
      <c r="S139" s="17" t="n">
        <v>5</v>
      </c>
      <c r="T139" s="12" t="s">
        <v>1093</v>
      </c>
    </row>
    <row r="140" customFormat="false" ht="15" hidden="false" customHeight="true" outlineLevel="0" collapsed="false">
      <c r="A140" s="6" t="n">
        <v>2021</v>
      </c>
      <c r="B140" s="6" t="n">
        <v>47</v>
      </c>
      <c r="C140" s="7" t="s">
        <v>1094</v>
      </c>
      <c r="D140" s="7" t="s">
        <v>1095</v>
      </c>
      <c r="E140" s="7" t="s">
        <v>26</v>
      </c>
      <c r="F140" s="7" t="s">
        <v>37</v>
      </c>
      <c r="G140" s="6" t="n">
        <v>5</v>
      </c>
      <c r="H140" s="6" t="n">
        <v>12</v>
      </c>
      <c r="I140" s="6" t="n">
        <v>7</v>
      </c>
      <c r="J140" s="9" t="n">
        <v>4000</v>
      </c>
      <c r="K140" s="6" t="n">
        <v>433</v>
      </c>
      <c r="L140" s="6" t="s">
        <v>1096</v>
      </c>
      <c r="M140" s="6" t="n">
        <v>2</v>
      </c>
      <c r="N140" s="9" t="n">
        <v>4760</v>
      </c>
      <c r="O140" s="9" t="n">
        <v>0</v>
      </c>
      <c r="P140" s="16" t="n">
        <v>1.19</v>
      </c>
      <c r="Q140" s="6"/>
      <c r="R140" s="6" t="s">
        <v>1097</v>
      </c>
      <c r="S140" s="17" t="n">
        <v>2</v>
      </c>
      <c r="T140" s="11" t="s">
        <v>1098</v>
      </c>
    </row>
    <row r="141" customFormat="false" ht="15" hidden="false" customHeight="true" outlineLevel="0" collapsed="false">
      <c r="A141" s="6" t="n">
        <v>2021</v>
      </c>
      <c r="B141" s="6" t="n">
        <v>48</v>
      </c>
      <c r="C141" s="7" t="s">
        <v>1099</v>
      </c>
      <c r="D141" s="7" t="s">
        <v>1100</v>
      </c>
      <c r="E141" s="7" t="s">
        <v>227</v>
      </c>
      <c r="F141" s="7" t="s">
        <v>27</v>
      </c>
      <c r="G141" s="6" t="n">
        <v>5</v>
      </c>
      <c r="H141" s="6" t="n">
        <v>15</v>
      </c>
      <c r="I141" s="6" t="n">
        <v>9</v>
      </c>
      <c r="J141" s="9" t="n">
        <v>2800</v>
      </c>
      <c r="K141" s="6" t="n">
        <v>403</v>
      </c>
      <c r="L141" s="6" t="s">
        <v>1101</v>
      </c>
      <c r="M141" s="6" t="n">
        <v>2</v>
      </c>
      <c r="N141" s="9" t="n">
        <v>0</v>
      </c>
      <c r="O141" s="9" t="n">
        <v>167</v>
      </c>
      <c r="P141" s="16" t="n">
        <v>0.06</v>
      </c>
      <c r="Q141" s="6"/>
      <c r="R141" s="6" t="s">
        <v>1102</v>
      </c>
      <c r="S141" s="17" t="n">
        <v>3</v>
      </c>
      <c r="T141" s="11" t="s">
        <v>546</v>
      </c>
    </row>
    <row r="142" customFormat="false" ht="15" hidden="false" customHeight="true" outlineLevel="0" collapsed="false">
      <c r="A142" s="6" t="n">
        <v>2021</v>
      </c>
      <c r="B142" s="6" t="n">
        <v>49</v>
      </c>
      <c r="C142" s="7" t="s">
        <v>1103</v>
      </c>
      <c r="D142" s="7" t="s">
        <v>1104</v>
      </c>
      <c r="E142" s="7" t="s">
        <v>227</v>
      </c>
      <c r="F142" s="7" t="s">
        <v>37</v>
      </c>
      <c r="G142" s="6" t="n">
        <v>3</v>
      </c>
      <c r="H142" s="6" t="n">
        <v>9</v>
      </c>
      <c r="I142" s="6" t="n">
        <v>2</v>
      </c>
      <c r="J142" s="9" t="n">
        <v>4000</v>
      </c>
      <c r="K142" s="6" t="n">
        <v>465</v>
      </c>
      <c r="L142" s="6" t="s">
        <v>538</v>
      </c>
      <c r="M142" s="6" t="n">
        <v>0</v>
      </c>
      <c r="N142" s="9" t="n">
        <v>0</v>
      </c>
      <c r="O142" s="9" t="n">
        <v>0</v>
      </c>
      <c r="P142" s="16" t="n">
        <v>0</v>
      </c>
      <c r="Q142" s="6"/>
      <c r="R142" s="6" t="s">
        <v>508</v>
      </c>
      <c r="S142" s="17" t="n">
        <v>4</v>
      </c>
      <c r="T142" s="12" t="s">
        <v>1105</v>
      </c>
    </row>
    <row r="143" customFormat="false" ht="15" hidden="false" customHeight="true" outlineLevel="0" collapsed="false">
      <c r="A143" s="6" t="n">
        <v>2021</v>
      </c>
      <c r="B143" s="6" t="n">
        <v>50</v>
      </c>
      <c r="C143" s="7" t="s">
        <v>1106</v>
      </c>
      <c r="D143" s="7" t="s">
        <v>1107</v>
      </c>
      <c r="E143" s="7" t="s">
        <v>227</v>
      </c>
      <c r="F143" s="7" t="s">
        <v>37</v>
      </c>
      <c r="G143" s="6" t="n">
        <v>4</v>
      </c>
      <c r="H143" s="6" t="n">
        <v>12</v>
      </c>
      <c r="I143" s="6" t="n">
        <v>4</v>
      </c>
      <c r="J143" s="9" t="n">
        <v>4000</v>
      </c>
      <c r="K143" s="6" t="n">
        <v>464</v>
      </c>
      <c r="L143" s="6" t="s">
        <v>858</v>
      </c>
      <c r="M143" s="6" t="n">
        <v>0</v>
      </c>
      <c r="N143" s="9" t="n">
        <v>165</v>
      </c>
      <c r="O143" s="9" t="n">
        <v>0</v>
      </c>
      <c r="P143" s="16" t="n">
        <v>0.04</v>
      </c>
      <c r="Q143" s="6"/>
      <c r="R143" s="6" t="s">
        <v>508</v>
      </c>
      <c r="S143" s="17" t="n">
        <v>4</v>
      </c>
      <c r="T143" s="12" t="s">
        <v>1108</v>
      </c>
    </row>
    <row r="144" customFormat="false" ht="15" hidden="false" customHeight="true" outlineLevel="0" collapsed="false">
      <c r="A144" s="6" t="n">
        <v>2021</v>
      </c>
      <c r="B144" s="6" t="n">
        <v>51</v>
      </c>
      <c r="C144" s="7" t="s">
        <v>1109</v>
      </c>
      <c r="D144" s="7" t="s">
        <v>1110</v>
      </c>
      <c r="E144" s="7" t="s">
        <v>89</v>
      </c>
      <c r="F144" s="7" t="s">
        <v>27</v>
      </c>
      <c r="G144" s="6" t="n">
        <v>4</v>
      </c>
      <c r="H144" s="6" t="n">
        <v>8</v>
      </c>
      <c r="I144" s="6" t="n">
        <v>4</v>
      </c>
      <c r="J144" s="9" t="n">
        <v>8000</v>
      </c>
      <c r="K144" s="6" t="n">
        <v>439</v>
      </c>
      <c r="L144" s="6" t="s">
        <v>1111</v>
      </c>
      <c r="M144" s="6" t="n">
        <v>0</v>
      </c>
      <c r="N144" s="9" t="n">
        <v>390</v>
      </c>
      <c r="O144" s="9" t="n">
        <v>0</v>
      </c>
      <c r="P144" s="16" t="n">
        <v>0.05</v>
      </c>
      <c r="Q144" s="6"/>
      <c r="R144" s="6" t="s">
        <v>508</v>
      </c>
      <c r="S144" s="17" t="n">
        <v>5</v>
      </c>
      <c r="T144" s="11" t="s">
        <v>1112</v>
      </c>
    </row>
    <row r="145" customFormat="false" ht="15" hidden="false" customHeight="true" outlineLevel="0" collapsed="false">
      <c r="A145" s="6" t="n">
        <v>2021</v>
      </c>
      <c r="B145" s="6" t="n">
        <v>52</v>
      </c>
      <c r="C145" s="7" t="s">
        <v>1113</v>
      </c>
      <c r="D145" s="7" t="s">
        <v>1114</v>
      </c>
      <c r="E145" s="7" t="s">
        <v>89</v>
      </c>
      <c r="F145" s="7" t="s">
        <v>27</v>
      </c>
      <c r="G145" s="6" t="n">
        <v>5</v>
      </c>
      <c r="H145" s="6" t="n">
        <v>7</v>
      </c>
      <c r="I145" s="6" t="n">
        <v>2</v>
      </c>
      <c r="J145" s="9" t="n">
        <v>5000</v>
      </c>
      <c r="K145" s="6" t="n">
        <v>434</v>
      </c>
      <c r="L145" s="6" t="s">
        <v>1115</v>
      </c>
      <c r="M145" s="6" t="n">
        <v>0</v>
      </c>
      <c r="N145" s="9" t="n">
        <v>0</v>
      </c>
      <c r="O145" s="9" t="n">
        <v>21</v>
      </c>
      <c r="P145" s="16" t="n">
        <v>0</v>
      </c>
      <c r="Q145" s="6"/>
      <c r="R145" s="6" t="s">
        <v>508</v>
      </c>
      <c r="S145" s="17" t="n">
        <v>4</v>
      </c>
      <c r="T145" s="11" t="s">
        <v>1116</v>
      </c>
    </row>
    <row r="146" customFormat="false" ht="15" hidden="false" customHeight="true" outlineLevel="0" collapsed="false">
      <c r="A146" s="6" t="n">
        <v>2021</v>
      </c>
      <c r="B146" s="6" t="n">
        <v>53</v>
      </c>
      <c r="C146" s="7" t="s">
        <v>1117</v>
      </c>
      <c r="D146" s="7" t="s">
        <v>1118</v>
      </c>
      <c r="E146" s="7" t="s">
        <v>89</v>
      </c>
      <c r="F146" s="7" t="s">
        <v>37</v>
      </c>
      <c r="G146" s="6" t="n">
        <v>1</v>
      </c>
      <c r="H146" s="6" t="n">
        <v>7</v>
      </c>
      <c r="I146" s="6" t="n">
        <v>1</v>
      </c>
      <c r="J146" s="9" t="n">
        <v>3400</v>
      </c>
      <c r="K146" s="6" t="n">
        <v>476</v>
      </c>
      <c r="L146" s="6" t="s">
        <v>1119</v>
      </c>
      <c r="M146" s="6" t="n">
        <v>2</v>
      </c>
      <c r="N146" s="9" t="n">
        <v>4741</v>
      </c>
      <c r="O146" s="9" t="n">
        <v>0</v>
      </c>
      <c r="P146" s="16" t="n">
        <v>1.39</v>
      </c>
      <c r="Q146" s="6"/>
      <c r="R146" s="6" t="s">
        <v>900</v>
      </c>
      <c r="S146" s="17" t="n">
        <v>3</v>
      </c>
      <c r="T146" s="12" t="s">
        <v>1120</v>
      </c>
    </row>
    <row r="147" customFormat="false" ht="15" hidden="false" customHeight="true" outlineLevel="0" collapsed="false">
      <c r="A147" s="6" t="n">
        <v>2021</v>
      </c>
      <c r="B147" s="6" t="n">
        <v>54</v>
      </c>
      <c r="C147" s="7" t="s">
        <v>1121</v>
      </c>
      <c r="D147" s="7" t="s">
        <v>1122</v>
      </c>
      <c r="E147" s="7" t="s">
        <v>299</v>
      </c>
      <c r="F147" s="7" t="s">
        <v>37</v>
      </c>
      <c r="G147" s="6" t="n">
        <v>3</v>
      </c>
      <c r="H147" s="6" t="n">
        <v>9</v>
      </c>
      <c r="I147" s="6" t="n">
        <v>3</v>
      </c>
      <c r="J147" s="9" t="n">
        <v>3000</v>
      </c>
      <c r="K147" s="6" t="n">
        <v>469</v>
      </c>
      <c r="L147" s="6" t="s">
        <v>1123</v>
      </c>
      <c r="M147" s="6" t="n">
        <v>4</v>
      </c>
      <c r="N147" s="9" t="n">
        <v>7046</v>
      </c>
      <c r="O147" s="9" t="n">
        <v>750</v>
      </c>
      <c r="P147" s="16" t="n">
        <v>2.6</v>
      </c>
      <c r="Q147" s="6"/>
      <c r="R147" s="6" t="s">
        <v>1124</v>
      </c>
      <c r="S147" s="17" t="n">
        <v>4</v>
      </c>
      <c r="T147" s="12" t="s">
        <v>1125</v>
      </c>
    </row>
    <row r="148" customFormat="false" ht="15" hidden="false" customHeight="true" outlineLevel="0" collapsed="false">
      <c r="A148" s="6" t="n">
        <v>2021</v>
      </c>
      <c r="B148" s="6" t="n">
        <v>55</v>
      </c>
      <c r="C148" s="7" t="s">
        <v>1126</v>
      </c>
      <c r="D148" s="7" t="s">
        <v>1127</v>
      </c>
      <c r="E148" s="7" t="s">
        <v>299</v>
      </c>
      <c r="F148" s="7" t="s">
        <v>37</v>
      </c>
      <c r="G148" s="6" t="n">
        <v>4</v>
      </c>
      <c r="H148" s="6" t="n">
        <v>11</v>
      </c>
      <c r="I148" s="6" t="n">
        <v>7</v>
      </c>
      <c r="J148" s="9" t="n">
        <v>2400</v>
      </c>
      <c r="K148" s="6" t="n">
        <v>410</v>
      </c>
      <c r="L148" s="6" t="s">
        <v>507</v>
      </c>
      <c r="M148" s="6" t="n">
        <v>0</v>
      </c>
      <c r="N148" s="9" t="n">
        <v>0</v>
      </c>
      <c r="O148" s="9" t="n">
        <v>0</v>
      </c>
      <c r="P148" s="16" t="n">
        <v>0</v>
      </c>
      <c r="Q148" s="6"/>
      <c r="R148" s="6" t="s">
        <v>508</v>
      </c>
      <c r="S148" s="17" t="n">
        <v>3</v>
      </c>
      <c r="T148" s="12" t="s">
        <v>1128</v>
      </c>
    </row>
    <row r="149" customFormat="false" ht="15" hidden="false" customHeight="true" outlineLevel="0" collapsed="false">
      <c r="A149" s="6" t="n">
        <v>2021</v>
      </c>
      <c r="B149" s="6" t="n">
        <v>56</v>
      </c>
      <c r="C149" s="7" t="s">
        <v>1129</v>
      </c>
      <c r="D149" s="7" t="s">
        <v>1130</v>
      </c>
      <c r="E149" s="7" t="s">
        <v>135</v>
      </c>
      <c r="F149" s="7" t="s">
        <v>27</v>
      </c>
      <c r="G149" s="6" t="n">
        <v>4</v>
      </c>
      <c r="H149" s="6" t="n">
        <v>7</v>
      </c>
      <c r="I149" s="6" t="n">
        <v>1</v>
      </c>
      <c r="J149" s="9" t="n">
        <v>4000</v>
      </c>
      <c r="K149" s="6" t="n">
        <v>438</v>
      </c>
      <c r="L149" s="6" t="s">
        <v>1131</v>
      </c>
      <c r="M149" s="6" t="n">
        <v>2</v>
      </c>
      <c r="N149" s="9" t="n">
        <v>3420</v>
      </c>
      <c r="O149" s="9" t="n">
        <v>0</v>
      </c>
      <c r="P149" s="16" t="n">
        <v>0.85</v>
      </c>
      <c r="Q149" s="6"/>
      <c r="R149" s="6" t="s">
        <v>927</v>
      </c>
      <c r="S149" s="17" t="n">
        <v>5</v>
      </c>
      <c r="T149" s="11" t="s">
        <v>1132</v>
      </c>
    </row>
    <row r="150" customFormat="false" ht="15" hidden="false" customHeight="true" outlineLevel="0" collapsed="false">
      <c r="A150" s="6" t="n">
        <v>2021</v>
      </c>
      <c r="B150" s="6" t="n">
        <v>57</v>
      </c>
      <c r="C150" s="7" t="s">
        <v>1133</v>
      </c>
      <c r="D150" s="7" t="s">
        <v>1134</v>
      </c>
      <c r="E150" s="7" t="s">
        <v>135</v>
      </c>
      <c r="F150" s="7" t="s">
        <v>27</v>
      </c>
      <c r="G150" s="6" t="n">
        <v>4</v>
      </c>
      <c r="H150" s="6" t="n">
        <v>10</v>
      </c>
      <c r="I150" s="6" t="n">
        <v>4</v>
      </c>
      <c r="J150" s="9" t="n">
        <v>3200</v>
      </c>
      <c r="K150" s="6" t="n">
        <v>438</v>
      </c>
      <c r="L150" s="6" t="s">
        <v>1135</v>
      </c>
      <c r="M150" s="6" t="n">
        <v>2</v>
      </c>
      <c r="N150" s="9" t="n">
        <v>593</v>
      </c>
      <c r="O150" s="9" t="n">
        <v>344</v>
      </c>
      <c r="P150" s="16" t="n">
        <v>0.29</v>
      </c>
      <c r="Q150" s="6"/>
      <c r="R150" s="6" t="s">
        <v>1136</v>
      </c>
      <c r="S150" s="17" t="n">
        <v>6</v>
      </c>
      <c r="T150" s="11" t="s">
        <v>1137</v>
      </c>
    </row>
    <row r="151" customFormat="false" ht="15" hidden="false" customHeight="true" outlineLevel="0" collapsed="false">
      <c r="A151" s="6" t="n">
        <v>2021</v>
      </c>
      <c r="B151" s="6" t="n">
        <v>58</v>
      </c>
      <c r="C151" s="7" t="s">
        <v>1138</v>
      </c>
      <c r="D151" s="7" t="s">
        <v>1139</v>
      </c>
      <c r="E151" s="7" t="s">
        <v>135</v>
      </c>
      <c r="F151" s="7" t="s">
        <v>37</v>
      </c>
      <c r="G151" s="6" t="n">
        <v>1</v>
      </c>
      <c r="H151" s="6" t="n">
        <v>10</v>
      </c>
      <c r="I151" s="6" t="n">
        <v>4</v>
      </c>
      <c r="J151" s="9" t="n">
        <v>2400</v>
      </c>
      <c r="K151" s="6" t="n">
        <v>467</v>
      </c>
      <c r="L151" s="6" t="s">
        <v>1140</v>
      </c>
      <c r="M151" s="6" t="n">
        <v>1</v>
      </c>
      <c r="N151" s="9" t="n">
        <v>0</v>
      </c>
      <c r="O151" s="9" t="n">
        <v>194</v>
      </c>
      <c r="P151" s="16" t="n">
        <v>0.08</v>
      </c>
      <c r="Q151" s="6"/>
      <c r="R151" s="6" t="s">
        <v>1141</v>
      </c>
      <c r="S151" s="17" t="n">
        <v>3</v>
      </c>
      <c r="T151" s="12" t="s">
        <v>1142</v>
      </c>
    </row>
    <row r="152" customFormat="false" ht="15" hidden="false" customHeight="true" outlineLevel="0" collapsed="false">
      <c r="A152" s="6" t="n">
        <v>2021</v>
      </c>
      <c r="B152" s="6" t="n">
        <v>59</v>
      </c>
      <c r="C152" s="7" t="s">
        <v>1143</v>
      </c>
      <c r="D152" s="7" t="s">
        <v>1144</v>
      </c>
      <c r="E152" s="7" t="s">
        <v>135</v>
      </c>
      <c r="F152" s="7" t="s">
        <v>37</v>
      </c>
      <c r="G152" s="6" t="n">
        <v>3</v>
      </c>
      <c r="H152" s="6" t="n">
        <v>10</v>
      </c>
      <c r="I152" s="6" t="n">
        <v>4</v>
      </c>
      <c r="J152" s="9" t="n">
        <v>3400</v>
      </c>
      <c r="K152" s="6" t="n">
        <v>465</v>
      </c>
      <c r="L152" s="6" t="s">
        <v>1145</v>
      </c>
      <c r="M152" s="6" t="n">
        <v>2</v>
      </c>
      <c r="N152" s="9" t="n">
        <v>620</v>
      </c>
      <c r="O152" s="9" t="n">
        <v>228</v>
      </c>
      <c r="P152" s="16" t="n">
        <v>0.25</v>
      </c>
      <c r="Q152" s="6"/>
      <c r="R152" s="6" t="s">
        <v>1146</v>
      </c>
      <c r="S152" s="17" t="n">
        <v>4</v>
      </c>
      <c r="T152" s="12" t="s">
        <v>1147</v>
      </c>
    </row>
    <row r="153" customFormat="false" ht="15" hidden="false" customHeight="true" outlineLevel="0" collapsed="false">
      <c r="A153" s="6" t="n">
        <v>2021</v>
      </c>
      <c r="B153" s="6" t="n">
        <v>60</v>
      </c>
      <c r="C153" s="7" t="s">
        <v>1148</v>
      </c>
      <c r="D153" s="7" t="s">
        <v>1149</v>
      </c>
      <c r="E153" s="7" t="s">
        <v>159</v>
      </c>
      <c r="F153" s="7" t="s">
        <v>27</v>
      </c>
      <c r="G153" s="6" t="n">
        <v>2</v>
      </c>
      <c r="H153" s="6" t="n">
        <v>7</v>
      </c>
      <c r="I153" s="6" t="n">
        <v>1</v>
      </c>
      <c r="J153" s="9" t="n">
        <v>3400</v>
      </c>
      <c r="K153" s="6" t="n">
        <v>478</v>
      </c>
      <c r="L153" s="6" t="s">
        <v>1150</v>
      </c>
      <c r="M153" s="6" t="n">
        <v>3</v>
      </c>
      <c r="N153" s="9" t="n">
        <v>5460</v>
      </c>
      <c r="O153" s="9" t="n">
        <v>0</v>
      </c>
      <c r="P153" s="16" t="n">
        <v>1.61</v>
      </c>
      <c r="Q153" s="6"/>
      <c r="R153" s="6" t="s">
        <v>1151</v>
      </c>
      <c r="S153" s="17" t="n">
        <v>3</v>
      </c>
      <c r="T153" s="11" t="s">
        <v>1152</v>
      </c>
    </row>
    <row r="154" customFormat="false" ht="15" hidden="false" customHeight="true" outlineLevel="0" collapsed="false">
      <c r="A154" s="6" t="n">
        <v>2021</v>
      </c>
      <c r="B154" s="6" t="n">
        <v>61</v>
      </c>
      <c r="C154" s="7" t="s">
        <v>1153</v>
      </c>
      <c r="D154" s="7" t="s">
        <v>1154</v>
      </c>
      <c r="E154" s="7" t="s">
        <v>159</v>
      </c>
      <c r="F154" s="7" t="s">
        <v>27</v>
      </c>
      <c r="G154" s="6" t="n">
        <v>2</v>
      </c>
      <c r="H154" s="6" t="n">
        <v>13</v>
      </c>
      <c r="I154" s="6" t="n">
        <v>6</v>
      </c>
      <c r="J154" s="9" t="n">
        <v>3000</v>
      </c>
      <c r="K154" s="6" t="n">
        <v>446</v>
      </c>
      <c r="L154" s="6" t="s">
        <v>691</v>
      </c>
      <c r="M154" s="6" t="n">
        <v>0</v>
      </c>
      <c r="N154" s="9" t="n">
        <v>0</v>
      </c>
      <c r="O154" s="9" t="n">
        <v>0</v>
      </c>
      <c r="P154" s="16" t="n">
        <v>0</v>
      </c>
      <c r="Q154" s="6"/>
      <c r="R154" s="6" t="s">
        <v>508</v>
      </c>
      <c r="S154" s="17" t="n">
        <v>3</v>
      </c>
      <c r="T154" s="11" t="s">
        <v>1155</v>
      </c>
    </row>
    <row r="155" customFormat="false" ht="15" hidden="false" customHeight="true" outlineLevel="0" collapsed="false">
      <c r="A155" s="6" t="n">
        <v>2021</v>
      </c>
      <c r="B155" s="6" t="n">
        <v>62</v>
      </c>
      <c r="C155" s="7" t="s">
        <v>1156</v>
      </c>
      <c r="D155" s="7" t="s">
        <v>1157</v>
      </c>
      <c r="E155" s="7" t="s">
        <v>159</v>
      </c>
      <c r="F155" s="7" t="s">
        <v>37</v>
      </c>
      <c r="G155" s="6" t="n">
        <v>3</v>
      </c>
      <c r="H155" s="6" t="n">
        <v>18</v>
      </c>
      <c r="I155" s="6" t="n">
        <v>12</v>
      </c>
      <c r="J155" s="9" t="n">
        <v>2000</v>
      </c>
      <c r="K155" s="6" t="n">
        <v>387</v>
      </c>
      <c r="L155" s="6" t="s">
        <v>1158</v>
      </c>
      <c r="M155" s="6" t="n">
        <v>0</v>
      </c>
      <c r="N155" s="9" t="n">
        <v>180</v>
      </c>
      <c r="O155" s="9" t="n">
        <v>0</v>
      </c>
      <c r="P155" s="16" t="n">
        <v>0.09</v>
      </c>
      <c r="Q155" s="6"/>
      <c r="R155" s="6" t="s">
        <v>508</v>
      </c>
      <c r="S155" s="17" t="n">
        <v>2</v>
      </c>
      <c r="T155" s="12" t="s">
        <v>174</v>
      </c>
    </row>
    <row r="156" customFormat="false" ht="15" hidden="false" customHeight="true" outlineLevel="0" collapsed="false">
      <c r="A156" s="6" t="n">
        <v>2021</v>
      </c>
      <c r="B156" s="6" t="n">
        <v>63</v>
      </c>
      <c r="C156" s="7" t="s">
        <v>1159</v>
      </c>
      <c r="D156" s="7" t="s">
        <v>1160</v>
      </c>
      <c r="E156" s="7" t="s">
        <v>151</v>
      </c>
      <c r="F156" s="7" t="s">
        <v>37</v>
      </c>
      <c r="G156" s="6" t="n">
        <v>2</v>
      </c>
      <c r="H156" s="6" t="n">
        <v>17</v>
      </c>
      <c r="I156" s="6" t="n">
        <v>11</v>
      </c>
      <c r="J156" s="9" t="n">
        <v>2800</v>
      </c>
      <c r="K156" s="6" t="n">
        <v>438</v>
      </c>
      <c r="L156" s="6" t="s">
        <v>1161</v>
      </c>
      <c r="M156" s="6" t="n">
        <v>2</v>
      </c>
      <c r="N156" s="9" t="n">
        <v>500</v>
      </c>
      <c r="O156" s="9" t="n">
        <v>142</v>
      </c>
      <c r="P156" s="16" t="n">
        <v>0.23</v>
      </c>
      <c r="Q156" s="6"/>
      <c r="R156" s="6" t="s">
        <v>1162</v>
      </c>
      <c r="S156" s="17" t="n">
        <v>3</v>
      </c>
      <c r="T156" s="12" t="s">
        <v>555</v>
      </c>
    </row>
    <row r="157" customFormat="false" ht="15" hidden="false" customHeight="true" outlineLevel="0" collapsed="false">
      <c r="A157" s="6" t="n">
        <v>2021</v>
      </c>
      <c r="B157" s="6" t="n">
        <v>64</v>
      </c>
      <c r="C157" s="7" t="s">
        <v>1163</v>
      </c>
      <c r="D157" s="7" t="s">
        <v>1164</v>
      </c>
      <c r="E157" s="7" t="s">
        <v>63</v>
      </c>
      <c r="F157" s="7" t="s">
        <v>27</v>
      </c>
      <c r="G157" s="6" t="n">
        <v>2</v>
      </c>
      <c r="H157" s="6" t="n">
        <v>7</v>
      </c>
      <c r="I157" s="6" t="n">
        <v>3</v>
      </c>
      <c r="J157" s="9" t="n">
        <v>2800</v>
      </c>
      <c r="K157" s="6" t="n">
        <v>456</v>
      </c>
      <c r="L157" s="6" t="s">
        <v>1165</v>
      </c>
      <c r="M157" s="6" t="n">
        <v>2</v>
      </c>
      <c r="N157" s="9" t="n">
        <v>140</v>
      </c>
      <c r="O157" s="9" t="n">
        <v>216</v>
      </c>
      <c r="P157" s="16" t="n">
        <v>0.13</v>
      </c>
      <c r="Q157" s="6"/>
      <c r="R157" s="6" t="s">
        <v>1166</v>
      </c>
      <c r="S157" s="17" t="n">
        <v>4</v>
      </c>
      <c r="T157" s="11" t="s">
        <v>200</v>
      </c>
    </row>
    <row r="158" customFormat="false" ht="15" hidden="false" customHeight="true" outlineLevel="0" collapsed="false">
      <c r="A158" s="6" t="n">
        <v>2021</v>
      </c>
      <c r="B158" s="6" t="n">
        <v>65</v>
      </c>
      <c r="C158" s="7" t="s">
        <v>1167</v>
      </c>
      <c r="D158" s="7" t="s">
        <v>1168</v>
      </c>
      <c r="E158" s="7" t="s">
        <v>63</v>
      </c>
      <c r="F158" s="7" t="s">
        <v>37</v>
      </c>
      <c r="G158" s="6" t="n">
        <v>2</v>
      </c>
      <c r="H158" s="6" t="n">
        <v>10</v>
      </c>
      <c r="I158" s="6" t="n">
        <v>4</v>
      </c>
      <c r="J158" s="9" t="n">
        <v>3000</v>
      </c>
      <c r="K158" s="6" t="n">
        <v>469</v>
      </c>
      <c r="L158" s="6" t="s">
        <v>1169</v>
      </c>
      <c r="M158" s="6" t="n">
        <v>3</v>
      </c>
      <c r="N158" s="9" t="n">
        <v>16594</v>
      </c>
      <c r="O158" s="9" t="n">
        <v>0</v>
      </c>
      <c r="P158" s="16" t="n">
        <v>5.53</v>
      </c>
      <c r="Q158" s="6" t="s">
        <v>32</v>
      </c>
      <c r="R158" s="6" t="s">
        <v>1170</v>
      </c>
      <c r="S158" s="17" t="n">
        <v>4</v>
      </c>
      <c r="T158" s="12" t="s">
        <v>1171</v>
      </c>
    </row>
    <row r="159" customFormat="false" ht="15" hidden="false" customHeight="true" outlineLevel="0" collapsed="false">
      <c r="A159" s="6" t="n">
        <v>2021</v>
      </c>
      <c r="B159" s="6" t="n">
        <v>66</v>
      </c>
      <c r="C159" s="7" t="s">
        <v>1172</v>
      </c>
      <c r="D159" s="7" t="s">
        <v>1173</v>
      </c>
      <c r="E159" s="7" t="s">
        <v>1005</v>
      </c>
      <c r="F159" s="7" t="s">
        <v>27</v>
      </c>
      <c r="G159" s="6" t="n">
        <v>4</v>
      </c>
      <c r="H159" s="6" t="n">
        <v>9</v>
      </c>
      <c r="I159" s="6" t="n">
        <v>3</v>
      </c>
      <c r="J159" s="9" t="n">
        <v>3200</v>
      </c>
      <c r="K159" s="6" t="n">
        <v>407</v>
      </c>
      <c r="L159" s="6" t="s">
        <v>1174</v>
      </c>
      <c r="M159" s="6" t="n">
        <v>0</v>
      </c>
      <c r="N159" s="9" t="n">
        <v>313</v>
      </c>
      <c r="O159" s="9" t="n">
        <v>33</v>
      </c>
      <c r="P159" s="16" t="n">
        <v>0.11</v>
      </c>
      <c r="Q159" s="6"/>
      <c r="R159" s="6" t="s">
        <v>508</v>
      </c>
      <c r="S159" s="17" t="n">
        <v>5</v>
      </c>
      <c r="T159" s="11" t="s">
        <v>1175</v>
      </c>
    </row>
    <row r="160" customFormat="false" ht="15" hidden="false" customHeight="true" outlineLevel="0" collapsed="false">
      <c r="A160" s="6" t="n">
        <v>2021</v>
      </c>
      <c r="B160" s="6" t="n">
        <v>67</v>
      </c>
      <c r="C160" s="7" t="s">
        <v>1176</v>
      </c>
      <c r="D160" s="7" t="s">
        <v>1177</v>
      </c>
      <c r="E160" s="7" t="s">
        <v>1005</v>
      </c>
      <c r="F160" s="7" t="s">
        <v>37</v>
      </c>
      <c r="G160" s="6" t="n">
        <v>3</v>
      </c>
      <c r="H160" s="6" t="n">
        <v>14</v>
      </c>
      <c r="I160" s="6" t="n">
        <v>6</v>
      </c>
      <c r="J160" s="9" t="n">
        <v>2400</v>
      </c>
      <c r="K160" s="6" t="n">
        <v>460</v>
      </c>
      <c r="L160" s="6" t="s">
        <v>1178</v>
      </c>
      <c r="M160" s="6" t="n">
        <v>2</v>
      </c>
      <c r="N160" s="9" t="n">
        <v>3134</v>
      </c>
      <c r="O160" s="9" t="n">
        <v>0</v>
      </c>
      <c r="P160" s="16" t="n">
        <v>1.31</v>
      </c>
      <c r="Q160" s="6"/>
      <c r="R160" s="6" t="s">
        <v>1179</v>
      </c>
      <c r="S160" s="17" t="n">
        <v>3</v>
      </c>
      <c r="T160" s="12" t="s">
        <v>1180</v>
      </c>
    </row>
    <row r="161" customFormat="false" ht="15" hidden="false" customHeight="true" outlineLevel="0" collapsed="false">
      <c r="A161" s="6" t="n">
        <v>2021</v>
      </c>
      <c r="B161" s="6" t="n">
        <v>68</v>
      </c>
      <c r="C161" s="7" t="s">
        <v>1181</v>
      </c>
      <c r="D161" s="7" t="s">
        <v>1182</v>
      </c>
      <c r="E161" s="7" t="s">
        <v>58</v>
      </c>
      <c r="F161" s="7" t="s">
        <v>27</v>
      </c>
      <c r="G161" s="6" t="n">
        <v>3</v>
      </c>
      <c r="H161" s="6" t="n">
        <v>14</v>
      </c>
      <c r="I161" s="6" t="n">
        <v>9</v>
      </c>
      <c r="J161" s="9" t="n">
        <v>3000</v>
      </c>
      <c r="K161" s="6" t="n">
        <v>418</v>
      </c>
      <c r="L161" s="6" t="s">
        <v>538</v>
      </c>
      <c r="M161" s="6" t="n">
        <v>0</v>
      </c>
      <c r="N161" s="9" t="n">
        <v>0</v>
      </c>
      <c r="O161" s="9" t="n">
        <v>0</v>
      </c>
      <c r="P161" s="16" t="n">
        <v>0</v>
      </c>
      <c r="Q161" s="6"/>
      <c r="R161" s="6" t="s">
        <v>508</v>
      </c>
      <c r="S161" s="17" t="n">
        <v>4</v>
      </c>
      <c r="T161" s="11" t="s">
        <v>166</v>
      </c>
    </row>
    <row r="162" customFormat="false" ht="15" hidden="false" customHeight="true" outlineLevel="0" collapsed="false">
      <c r="A162" s="6" t="n">
        <v>2021</v>
      </c>
      <c r="B162" s="6" t="n">
        <v>69</v>
      </c>
      <c r="C162" s="7" t="s">
        <v>1183</v>
      </c>
      <c r="D162" s="7" t="s">
        <v>1184</v>
      </c>
      <c r="E162" s="7" t="s">
        <v>58</v>
      </c>
      <c r="F162" s="7" t="s">
        <v>37</v>
      </c>
      <c r="G162" s="6" t="n">
        <v>2</v>
      </c>
      <c r="H162" s="6" t="n">
        <v>7</v>
      </c>
      <c r="I162" s="6" t="n">
        <v>2</v>
      </c>
      <c r="J162" s="9" t="n">
        <v>2000</v>
      </c>
      <c r="K162" s="6" t="n">
        <v>437</v>
      </c>
      <c r="L162" s="6" t="s">
        <v>1185</v>
      </c>
      <c r="M162" s="6" t="n">
        <v>1</v>
      </c>
      <c r="N162" s="9" t="n">
        <v>707</v>
      </c>
      <c r="O162" s="9" t="n">
        <v>0</v>
      </c>
      <c r="P162" s="16" t="n">
        <v>0.35</v>
      </c>
      <c r="Q162" s="6"/>
      <c r="R162" s="6" t="s">
        <v>1186</v>
      </c>
      <c r="S162" s="17" t="n">
        <v>2</v>
      </c>
      <c r="T162" s="12" t="s">
        <v>1187</v>
      </c>
    </row>
    <row r="163" customFormat="false" ht="15" hidden="false" customHeight="true" outlineLevel="0" collapsed="false">
      <c r="A163" s="6" t="n">
        <v>2021</v>
      </c>
      <c r="B163" s="6" t="n">
        <v>70</v>
      </c>
      <c r="C163" s="7" t="s">
        <v>1188</v>
      </c>
      <c r="D163" s="7" t="s">
        <v>1189</v>
      </c>
      <c r="E163" s="7" t="s">
        <v>190</v>
      </c>
      <c r="F163" s="7" t="s">
        <v>27</v>
      </c>
      <c r="G163" s="6" t="n">
        <v>3</v>
      </c>
      <c r="H163" s="6" t="n">
        <v>11</v>
      </c>
      <c r="I163" s="6" t="n">
        <v>5</v>
      </c>
      <c r="J163" s="9" t="n">
        <v>3600</v>
      </c>
      <c r="K163" s="6" t="n">
        <v>444</v>
      </c>
      <c r="L163" s="6" t="s">
        <v>1190</v>
      </c>
      <c r="M163" s="6" t="n">
        <v>2</v>
      </c>
      <c r="N163" s="9" t="n">
        <v>3913</v>
      </c>
      <c r="O163" s="9" t="n">
        <v>0</v>
      </c>
      <c r="P163" s="16" t="n">
        <v>1.09</v>
      </c>
      <c r="Q163" s="6"/>
      <c r="R163" s="6" t="s">
        <v>1191</v>
      </c>
      <c r="S163" s="17" t="n">
        <v>6</v>
      </c>
      <c r="T163" s="11" t="s">
        <v>1192</v>
      </c>
    </row>
    <row r="164" customFormat="false" ht="15" hidden="false" customHeight="true" outlineLevel="0" collapsed="false">
      <c r="A164" s="6" t="n">
        <v>2021</v>
      </c>
      <c r="B164" s="6" t="n">
        <v>71</v>
      </c>
      <c r="C164" s="7" t="s">
        <v>1193</v>
      </c>
      <c r="D164" s="7" t="s">
        <v>1194</v>
      </c>
      <c r="E164" s="7" t="s">
        <v>190</v>
      </c>
      <c r="F164" s="7" t="s">
        <v>27</v>
      </c>
      <c r="G164" s="6" t="n">
        <v>3</v>
      </c>
      <c r="H164" s="6" t="n">
        <v>14</v>
      </c>
      <c r="I164" s="6" t="n">
        <v>8</v>
      </c>
      <c r="J164" s="9" t="n">
        <v>4000</v>
      </c>
      <c r="K164" s="6" t="n">
        <v>420</v>
      </c>
      <c r="L164" s="6" t="s">
        <v>1195</v>
      </c>
      <c r="M164" s="6" t="n">
        <v>1</v>
      </c>
      <c r="N164" s="9" t="n">
        <v>0</v>
      </c>
      <c r="O164" s="9" t="n">
        <v>289</v>
      </c>
      <c r="P164" s="16" t="n">
        <v>0.07</v>
      </c>
      <c r="Q164" s="6"/>
      <c r="R164" s="7" t="s">
        <v>1196</v>
      </c>
      <c r="S164" s="17" t="n">
        <v>4</v>
      </c>
      <c r="T164" s="11" t="s">
        <v>166</v>
      </c>
    </row>
    <row r="165" customFormat="false" ht="15" hidden="false" customHeight="true" outlineLevel="0" collapsed="false">
      <c r="A165" s="6" t="n">
        <v>2021</v>
      </c>
      <c r="B165" s="6" t="n">
        <v>72</v>
      </c>
      <c r="C165" s="7" t="s">
        <v>1197</v>
      </c>
      <c r="D165" s="7" t="s">
        <v>1198</v>
      </c>
      <c r="E165" s="7" t="s">
        <v>364</v>
      </c>
      <c r="F165" s="7" t="s">
        <v>27</v>
      </c>
      <c r="G165" s="6" t="n">
        <v>2</v>
      </c>
      <c r="H165" s="6" t="n">
        <v>17</v>
      </c>
      <c r="I165" s="6" t="n">
        <v>10</v>
      </c>
      <c r="J165" s="9" t="n">
        <v>2200</v>
      </c>
      <c r="K165" s="6" t="n">
        <v>456</v>
      </c>
      <c r="L165" s="6" t="s">
        <v>1199</v>
      </c>
      <c r="M165" s="6" t="n">
        <v>2</v>
      </c>
      <c r="N165" s="9" t="n">
        <v>6363</v>
      </c>
      <c r="O165" s="9" t="n">
        <v>0</v>
      </c>
      <c r="P165" s="16" t="n">
        <v>2.89</v>
      </c>
      <c r="Q165" s="6"/>
      <c r="R165" s="6" t="s">
        <v>927</v>
      </c>
      <c r="S165" s="17" t="n">
        <v>3</v>
      </c>
      <c r="T165" s="11" t="s">
        <v>1200</v>
      </c>
    </row>
    <row r="166" customFormat="false" ht="15" hidden="false" customHeight="true" outlineLevel="0" collapsed="false">
      <c r="A166" s="6" t="n">
        <v>2021</v>
      </c>
      <c r="B166" s="6" t="n">
        <v>73</v>
      </c>
      <c r="C166" s="7" t="s">
        <v>1201</v>
      </c>
      <c r="D166" s="7" t="s">
        <v>1202</v>
      </c>
      <c r="E166" s="7" t="s">
        <v>364</v>
      </c>
      <c r="F166" s="7" t="s">
        <v>37</v>
      </c>
      <c r="G166" s="6" t="n">
        <v>1</v>
      </c>
      <c r="H166" s="6" t="n">
        <v>12</v>
      </c>
      <c r="I166" s="6" t="n">
        <v>6</v>
      </c>
      <c r="J166" s="9" t="n">
        <v>1600</v>
      </c>
      <c r="K166" s="6" t="n">
        <v>425</v>
      </c>
      <c r="L166" s="6" t="s">
        <v>1203</v>
      </c>
      <c r="M166" s="6" t="n">
        <v>1</v>
      </c>
      <c r="N166" s="9" t="n">
        <v>0</v>
      </c>
      <c r="O166" s="9" t="n">
        <v>202</v>
      </c>
      <c r="P166" s="16" t="n">
        <v>0.13</v>
      </c>
      <c r="Q166" s="6"/>
      <c r="R166" s="6" t="s">
        <v>1204</v>
      </c>
      <c r="S166" s="17" t="n">
        <v>1</v>
      </c>
      <c r="T166" s="12" t="s">
        <v>361</v>
      </c>
    </row>
    <row r="167" customFormat="false" ht="15" hidden="false" customHeight="true" outlineLevel="0" collapsed="false">
      <c r="A167" s="6" t="n">
        <v>2021</v>
      </c>
      <c r="B167" s="6" t="n">
        <v>74</v>
      </c>
      <c r="C167" s="7" t="s">
        <v>1205</v>
      </c>
      <c r="D167" s="7" t="s">
        <v>1206</v>
      </c>
      <c r="E167" s="7" t="s">
        <v>1033</v>
      </c>
      <c r="F167" s="7" t="s">
        <v>27</v>
      </c>
      <c r="G167" s="6" t="n">
        <v>2</v>
      </c>
      <c r="H167" s="6" t="n">
        <v>18</v>
      </c>
      <c r="I167" s="6" t="n">
        <v>11</v>
      </c>
      <c r="J167" s="9" t="n">
        <v>4000</v>
      </c>
      <c r="K167" s="6" t="n">
        <v>432</v>
      </c>
      <c r="L167" s="6" t="s">
        <v>1207</v>
      </c>
      <c r="M167" s="6" t="n">
        <v>0</v>
      </c>
      <c r="N167" s="9" t="n">
        <v>110</v>
      </c>
      <c r="O167" s="9" t="n">
        <v>271</v>
      </c>
      <c r="P167" s="16" t="n">
        <v>0.1</v>
      </c>
      <c r="Q167" s="6"/>
      <c r="R167" s="6" t="s">
        <v>508</v>
      </c>
      <c r="S167" s="17" t="n">
        <v>4</v>
      </c>
      <c r="T167" s="11" t="s">
        <v>1208</v>
      </c>
    </row>
    <row r="168" customFormat="false" ht="15" hidden="false" customHeight="true" outlineLevel="0" collapsed="false">
      <c r="A168" s="6" t="n">
        <v>2021</v>
      </c>
      <c r="B168" s="6" t="n">
        <v>75</v>
      </c>
      <c r="C168" s="7" t="s">
        <v>1209</v>
      </c>
      <c r="D168" s="7" t="s">
        <v>1210</v>
      </c>
      <c r="E168" s="7" t="s">
        <v>1033</v>
      </c>
      <c r="F168" s="7" t="s">
        <v>37</v>
      </c>
      <c r="G168" s="6" t="n">
        <v>2</v>
      </c>
      <c r="H168" s="6" t="n">
        <v>8</v>
      </c>
      <c r="I168" s="6" t="n">
        <v>2</v>
      </c>
      <c r="J168" s="9" t="n">
        <v>1400</v>
      </c>
      <c r="K168" s="6" t="n">
        <v>423</v>
      </c>
      <c r="L168" s="6" t="s">
        <v>1211</v>
      </c>
      <c r="M168" s="6" t="n">
        <v>0</v>
      </c>
      <c r="N168" s="9" t="n">
        <v>335</v>
      </c>
      <c r="O168" s="9" t="n">
        <v>43</v>
      </c>
      <c r="P168" s="16" t="n">
        <v>0.27</v>
      </c>
      <c r="Q168" s="6"/>
      <c r="R168" s="6" t="s">
        <v>508</v>
      </c>
      <c r="S168" s="17" t="n">
        <v>2</v>
      </c>
      <c r="T168" s="12" t="s">
        <v>844</v>
      </c>
    </row>
    <row r="169" customFormat="false" ht="15" hidden="false" customHeight="true" outlineLevel="0" collapsed="false">
      <c r="A169" s="6" t="n">
        <v>2021</v>
      </c>
      <c r="B169" s="6" t="n">
        <v>76</v>
      </c>
      <c r="C169" s="7" t="s">
        <v>1212</v>
      </c>
      <c r="D169" s="7" t="s">
        <v>1213</v>
      </c>
      <c r="E169" s="7" t="s">
        <v>666</v>
      </c>
      <c r="F169" s="7" t="s">
        <v>27</v>
      </c>
      <c r="G169" s="6" t="n">
        <v>3</v>
      </c>
      <c r="H169" s="6" t="n">
        <v>7</v>
      </c>
      <c r="I169" s="6" t="n">
        <v>1</v>
      </c>
      <c r="J169" s="9" t="n">
        <v>2800</v>
      </c>
      <c r="K169" s="6" t="n">
        <v>422</v>
      </c>
      <c r="L169" s="6" t="s">
        <v>1214</v>
      </c>
      <c r="M169" s="6" t="n">
        <v>1</v>
      </c>
      <c r="N169" s="9" t="n">
        <v>1763</v>
      </c>
      <c r="O169" s="9" t="n">
        <v>0</v>
      </c>
      <c r="P169" s="16" t="n">
        <v>0.63</v>
      </c>
      <c r="Q169" s="6"/>
      <c r="R169" s="6" t="s">
        <v>907</v>
      </c>
      <c r="S169" s="17" t="n">
        <v>3</v>
      </c>
      <c r="T169" s="11" t="s">
        <v>796</v>
      </c>
    </row>
    <row r="170" customFormat="false" ht="15" hidden="false" customHeight="true" outlineLevel="0" collapsed="false">
      <c r="A170" s="6" t="n">
        <v>2021</v>
      </c>
      <c r="B170" s="6" t="n">
        <v>77</v>
      </c>
      <c r="C170" s="7" t="s">
        <v>1215</v>
      </c>
      <c r="D170" s="7" t="s">
        <v>1216</v>
      </c>
      <c r="E170" s="7" t="s">
        <v>666</v>
      </c>
      <c r="F170" s="7" t="s">
        <v>37</v>
      </c>
      <c r="G170" s="6" t="n">
        <v>1</v>
      </c>
      <c r="H170" s="6" t="n">
        <v>15</v>
      </c>
      <c r="I170" s="6" t="n">
        <v>10</v>
      </c>
      <c r="J170" s="9" t="n">
        <v>2200</v>
      </c>
      <c r="K170" s="6" t="n">
        <v>489</v>
      </c>
      <c r="L170" s="6" t="s">
        <v>1217</v>
      </c>
      <c r="M170" s="6" t="n">
        <v>3</v>
      </c>
      <c r="N170" s="9" t="n">
        <v>4219</v>
      </c>
      <c r="O170" s="9" t="n">
        <v>0</v>
      </c>
      <c r="P170" s="16" t="n">
        <v>1.92</v>
      </c>
      <c r="Q170" s="6"/>
      <c r="R170" s="6" t="s">
        <v>1218</v>
      </c>
      <c r="S170" s="17" t="n">
        <v>2</v>
      </c>
      <c r="T170" s="12" t="s">
        <v>1219</v>
      </c>
    </row>
    <row r="171" customFormat="false" ht="15" hidden="false" customHeight="true" outlineLevel="0" collapsed="false">
      <c r="A171" s="6" t="n">
        <v>2021</v>
      </c>
      <c r="B171" s="6" t="n">
        <v>78</v>
      </c>
      <c r="C171" s="7" t="s">
        <v>1220</v>
      </c>
      <c r="D171" s="7" t="s">
        <v>1221</v>
      </c>
      <c r="E171" s="7" t="s">
        <v>847</v>
      </c>
      <c r="F171" s="7" t="s">
        <v>27</v>
      </c>
      <c r="G171" s="6" t="n">
        <v>4</v>
      </c>
      <c r="H171" s="6" t="n">
        <v>13</v>
      </c>
      <c r="I171" s="6" t="n">
        <v>9</v>
      </c>
      <c r="J171" s="9" t="n">
        <v>3600</v>
      </c>
      <c r="K171" s="6" t="n">
        <v>477</v>
      </c>
      <c r="L171" s="6" t="s">
        <v>1222</v>
      </c>
      <c r="M171" s="6" t="n">
        <v>2</v>
      </c>
      <c r="N171" s="9" t="n">
        <v>3263</v>
      </c>
      <c r="O171" s="9" t="n">
        <v>0</v>
      </c>
      <c r="P171" s="16" t="n">
        <v>0.91</v>
      </c>
      <c r="Q171" s="6"/>
      <c r="R171" s="6" t="s">
        <v>1223</v>
      </c>
      <c r="S171" s="17" t="n">
        <v>5</v>
      </c>
      <c r="T171" s="11" t="s">
        <v>1224</v>
      </c>
    </row>
    <row r="172" customFormat="false" ht="15" hidden="false" customHeight="true" outlineLevel="0" collapsed="false">
      <c r="A172" s="6" t="n">
        <v>2021</v>
      </c>
      <c r="B172" s="6" t="n">
        <v>79</v>
      </c>
      <c r="C172" s="7" t="s">
        <v>1225</v>
      </c>
      <c r="D172" s="7" t="s">
        <v>1226</v>
      </c>
      <c r="E172" s="7" t="s">
        <v>847</v>
      </c>
      <c r="F172" s="7" t="s">
        <v>37</v>
      </c>
      <c r="G172" s="6" t="n">
        <v>4</v>
      </c>
      <c r="H172" s="6" t="n">
        <v>12</v>
      </c>
      <c r="I172" s="6" t="n">
        <v>6</v>
      </c>
      <c r="J172" s="9" t="n">
        <v>2000</v>
      </c>
      <c r="K172" s="6" t="n">
        <v>444</v>
      </c>
      <c r="L172" s="6" t="s">
        <v>1227</v>
      </c>
      <c r="M172" s="6" t="n">
        <v>0</v>
      </c>
      <c r="N172" s="9" t="n">
        <v>110</v>
      </c>
      <c r="O172" s="9" t="n">
        <v>67</v>
      </c>
      <c r="P172" s="16" t="n">
        <v>0.09</v>
      </c>
      <c r="Q172" s="6"/>
      <c r="R172" s="6" t="s">
        <v>508</v>
      </c>
      <c r="S172" s="17" t="n">
        <v>2</v>
      </c>
      <c r="T172" s="12" t="s">
        <v>1228</v>
      </c>
    </row>
    <row r="173" customFormat="false" ht="15" hidden="false" customHeight="true" outlineLevel="0" collapsed="false">
      <c r="A173" s="6" t="n">
        <v>2021</v>
      </c>
      <c r="B173" s="6" t="n">
        <v>80</v>
      </c>
      <c r="C173" s="7" t="s">
        <v>1229</v>
      </c>
      <c r="D173" s="7" t="s">
        <v>1230</v>
      </c>
      <c r="E173" s="7" t="s">
        <v>51</v>
      </c>
      <c r="F173" s="7" t="s">
        <v>37</v>
      </c>
      <c r="G173" s="6" t="n">
        <v>2</v>
      </c>
      <c r="H173" s="6" t="n">
        <v>17</v>
      </c>
      <c r="I173" s="6" t="n">
        <v>12</v>
      </c>
      <c r="J173" s="9" t="n">
        <v>5000</v>
      </c>
      <c r="K173" s="6" t="n">
        <v>499</v>
      </c>
      <c r="L173" s="6" t="s">
        <v>538</v>
      </c>
      <c r="M173" s="6" t="n">
        <v>0</v>
      </c>
      <c r="N173" s="9" t="n">
        <v>0</v>
      </c>
      <c r="O173" s="9" t="n">
        <v>0</v>
      </c>
      <c r="P173" s="16" t="n">
        <v>0</v>
      </c>
      <c r="Q173" s="6"/>
      <c r="R173" s="6" t="s">
        <v>508</v>
      </c>
      <c r="S173" s="17" t="n">
        <v>3</v>
      </c>
      <c r="T173" s="12" t="s">
        <v>1231</v>
      </c>
    </row>
    <row r="174" customFormat="false" ht="15" hidden="false" customHeight="true" outlineLevel="0" collapsed="false">
      <c r="A174" s="6" t="n">
        <v>2021</v>
      </c>
      <c r="B174" s="6" t="n">
        <v>81</v>
      </c>
      <c r="C174" s="7" t="s">
        <v>1232</v>
      </c>
      <c r="D174" s="7" t="s">
        <v>1233</v>
      </c>
      <c r="E174" s="7" t="s">
        <v>681</v>
      </c>
      <c r="F174" s="7" t="s">
        <v>27</v>
      </c>
      <c r="G174" s="6" t="n">
        <v>2</v>
      </c>
      <c r="H174" s="6" t="n">
        <v>7</v>
      </c>
      <c r="I174" s="6" t="n">
        <v>2</v>
      </c>
      <c r="J174" s="9" t="n">
        <v>3000</v>
      </c>
      <c r="K174" s="6" t="n">
        <v>485</v>
      </c>
      <c r="L174" s="6" t="s">
        <v>1234</v>
      </c>
      <c r="M174" s="6" t="n">
        <v>7</v>
      </c>
      <c r="N174" s="9" t="n">
        <v>9468</v>
      </c>
      <c r="O174" s="9" t="n">
        <v>12085</v>
      </c>
      <c r="P174" s="16" t="n">
        <v>7.18</v>
      </c>
      <c r="Q174" s="6" t="s">
        <v>32</v>
      </c>
      <c r="R174" s="6" t="s">
        <v>1235</v>
      </c>
      <c r="S174" s="17" t="n">
        <v>4</v>
      </c>
      <c r="T174" s="11" t="s">
        <v>1236</v>
      </c>
    </row>
    <row r="175" customFormat="false" ht="15" hidden="false" customHeight="true" outlineLevel="0" collapsed="false">
      <c r="A175" s="6" t="n">
        <v>2021</v>
      </c>
      <c r="B175" s="6" t="n">
        <v>82</v>
      </c>
      <c r="C175" s="7" t="s">
        <v>1237</v>
      </c>
      <c r="D175" s="7" t="s">
        <v>1238</v>
      </c>
      <c r="E175" s="7" t="s">
        <v>206</v>
      </c>
      <c r="F175" s="7" t="s">
        <v>37</v>
      </c>
      <c r="G175" s="6" t="n">
        <v>1</v>
      </c>
      <c r="H175" s="6" t="n">
        <v>9</v>
      </c>
      <c r="I175" s="6" t="n">
        <v>5</v>
      </c>
      <c r="J175" s="9" t="n">
        <v>1800</v>
      </c>
      <c r="K175" s="6" t="n">
        <v>462</v>
      </c>
      <c r="L175" s="6" t="s">
        <v>522</v>
      </c>
      <c r="M175" s="6" t="n">
        <v>0</v>
      </c>
      <c r="N175" s="9" t="n">
        <v>70</v>
      </c>
      <c r="O175" s="9" t="n">
        <v>0</v>
      </c>
      <c r="P175" s="16" t="n">
        <v>0.04</v>
      </c>
      <c r="Q175" s="6"/>
      <c r="R175" s="6" t="s">
        <v>508</v>
      </c>
      <c r="S175" s="17" t="n">
        <v>3</v>
      </c>
      <c r="T175" s="12" t="s">
        <v>1239</v>
      </c>
    </row>
    <row r="176" customFormat="false" ht="15" hidden="false" customHeight="true" outlineLevel="0" collapsed="false">
      <c r="A176" s="6" t="n">
        <v>2021</v>
      </c>
      <c r="B176" s="6" t="n">
        <v>83</v>
      </c>
      <c r="C176" s="7" t="s">
        <v>1240</v>
      </c>
      <c r="D176" s="7" t="s">
        <v>1241</v>
      </c>
      <c r="E176" s="7" t="s">
        <v>641</v>
      </c>
      <c r="F176" s="7" t="s">
        <v>27</v>
      </c>
      <c r="G176" s="6" t="n">
        <v>1</v>
      </c>
      <c r="H176" s="6" t="n">
        <v>15</v>
      </c>
      <c r="I176" s="6" t="n">
        <v>12</v>
      </c>
      <c r="J176" s="9" t="n">
        <v>2000</v>
      </c>
      <c r="K176" s="6" t="n">
        <v>586</v>
      </c>
      <c r="L176" s="6" t="s">
        <v>538</v>
      </c>
      <c r="M176" s="6" t="n">
        <v>0</v>
      </c>
      <c r="N176" s="9" t="n">
        <v>0</v>
      </c>
      <c r="O176" s="9" t="n">
        <v>0</v>
      </c>
      <c r="P176" s="16" t="n">
        <v>0</v>
      </c>
      <c r="Q176" s="6"/>
      <c r="R176" s="6" t="s">
        <v>508</v>
      </c>
      <c r="S176" s="17" t="n">
        <v>2</v>
      </c>
      <c r="T176" s="11" t="s">
        <v>1242</v>
      </c>
    </row>
    <row r="177" customFormat="false" ht="15" hidden="false" customHeight="true" outlineLevel="0" collapsed="false">
      <c r="A177" s="6" t="n">
        <v>2021</v>
      </c>
      <c r="B177" s="6" t="n">
        <v>84</v>
      </c>
      <c r="C177" s="7" t="s">
        <v>1243</v>
      </c>
      <c r="D177" s="7" t="s">
        <v>1244</v>
      </c>
      <c r="E177" s="7" t="s">
        <v>72</v>
      </c>
      <c r="F177" s="7" t="s">
        <v>37</v>
      </c>
      <c r="G177" s="6" t="n">
        <v>3</v>
      </c>
      <c r="H177" s="6" t="n">
        <v>8</v>
      </c>
      <c r="I177" s="6" t="n">
        <v>2</v>
      </c>
      <c r="J177" s="9" t="n">
        <v>2200</v>
      </c>
      <c r="K177" s="6" t="n">
        <v>370</v>
      </c>
      <c r="L177" s="6" t="s">
        <v>522</v>
      </c>
      <c r="M177" s="6" t="n">
        <v>0</v>
      </c>
      <c r="N177" s="9" t="n">
        <v>0</v>
      </c>
      <c r="O177" s="9" t="n">
        <v>0</v>
      </c>
      <c r="P177" s="16" t="n">
        <v>0</v>
      </c>
      <c r="Q177" s="6"/>
      <c r="R177" s="6" t="s">
        <v>508</v>
      </c>
      <c r="S177" s="17" t="n">
        <v>3</v>
      </c>
      <c r="T177" s="12" t="s">
        <v>225</v>
      </c>
    </row>
    <row r="178" customFormat="false" ht="15" hidden="false" customHeight="true" outlineLevel="0" collapsed="false">
      <c r="A178" s="6" t="n">
        <v>2021</v>
      </c>
      <c r="B178" s="6" t="n">
        <v>85</v>
      </c>
      <c r="C178" s="7" t="s">
        <v>1245</v>
      </c>
      <c r="D178" s="7" t="s">
        <v>1246</v>
      </c>
      <c r="E178" s="7" t="s">
        <v>672</v>
      </c>
      <c r="F178" s="7" t="s">
        <v>37</v>
      </c>
      <c r="G178" s="6" t="n">
        <v>3</v>
      </c>
      <c r="H178" s="6" t="n">
        <v>15</v>
      </c>
      <c r="I178" s="6" t="n">
        <v>8</v>
      </c>
      <c r="J178" s="9" t="n">
        <v>1800</v>
      </c>
      <c r="K178" s="6" t="n">
        <v>451</v>
      </c>
      <c r="L178" s="6" t="s">
        <v>1247</v>
      </c>
      <c r="M178" s="6" t="n">
        <v>1</v>
      </c>
      <c r="N178" s="9" t="n">
        <v>1340</v>
      </c>
      <c r="O178" s="9" t="n">
        <v>117</v>
      </c>
      <c r="P178" s="16" t="n">
        <v>0.81</v>
      </c>
      <c r="Q178" s="6"/>
      <c r="R178" s="6" t="s">
        <v>907</v>
      </c>
      <c r="S178" s="17" t="n">
        <v>2</v>
      </c>
      <c r="T178" s="12" t="s">
        <v>1248</v>
      </c>
    </row>
    <row r="179" customFormat="false" ht="15" hidden="false" customHeight="true" outlineLevel="0" collapsed="false">
      <c r="A179" s="6" t="n">
        <v>2021</v>
      </c>
      <c r="B179" s="6" t="n">
        <v>86</v>
      </c>
      <c r="C179" s="7" t="s">
        <v>1249</v>
      </c>
      <c r="D179" s="7" t="s">
        <v>1250</v>
      </c>
      <c r="E179" s="7" t="s">
        <v>690</v>
      </c>
      <c r="F179" s="7" t="s">
        <v>37</v>
      </c>
      <c r="G179" s="6" t="n">
        <v>3</v>
      </c>
      <c r="H179" s="6" t="n">
        <v>18</v>
      </c>
      <c r="I179" s="6" t="n">
        <v>12</v>
      </c>
      <c r="J179" s="9" t="n">
        <v>3200</v>
      </c>
      <c r="K179" s="6" t="n">
        <v>437</v>
      </c>
      <c r="L179" s="7" t="s">
        <v>1251</v>
      </c>
      <c r="M179" s="6" t="n">
        <v>0</v>
      </c>
      <c r="N179" s="9" t="n">
        <v>0</v>
      </c>
      <c r="O179" s="9" t="n">
        <v>0</v>
      </c>
      <c r="P179" s="16" t="n">
        <v>0</v>
      </c>
      <c r="Q179" s="6"/>
      <c r="R179" s="6" t="s">
        <v>508</v>
      </c>
      <c r="S179" s="17" t="n">
        <v>4</v>
      </c>
      <c r="T179" s="12" t="s">
        <v>1252</v>
      </c>
    </row>
    <row r="180" customFormat="false" ht="15" hidden="false" customHeight="true" outlineLevel="0" collapsed="false">
      <c r="A180" s="6" t="n">
        <v>2021</v>
      </c>
      <c r="B180" s="6" t="n">
        <v>87</v>
      </c>
      <c r="C180" s="7" t="s">
        <v>1253</v>
      </c>
      <c r="D180" s="7" t="s">
        <v>1254</v>
      </c>
      <c r="E180" s="6" t="s">
        <v>1255</v>
      </c>
      <c r="F180" s="7" t="s">
        <v>37</v>
      </c>
      <c r="G180" s="6" t="n">
        <v>5</v>
      </c>
      <c r="H180" s="6" t="n">
        <v>6</v>
      </c>
      <c r="I180" s="6" t="n">
        <v>1</v>
      </c>
      <c r="J180" s="9" t="n">
        <v>2600</v>
      </c>
      <c r="K180" s="6" t="n">
        <v>401</v>
      </c>
      <c r="L180" s="6" t="s">
        <v>1256</v>
      </c>
      <c r="M180" s="6" t="n">
        <v>3</v>
      </c>
      <c r="N180" s="9" t="n">
        <v>7302</v>
      </c>
      <c r="O180" s="9" t="n">
        <v>0</v>
      </c>
      <c r="P180" s="16" t="n">
        <v>2.81</v>
      </c>
      <c r="Q180" s="6"/>
      <c r="R180" s="6" t="s">
        <v>1257</v>
      </c>
      <c r="S180" s="17" t="n">
        <v>2</v>
      </c>
      <c r="T180" s="12" t="s">
        <v>140</v>
      </c>
    </row>
    <row r="181" customFormat="false" ht="15" hidden="false" customHeight="true" outlineLevel="0" collapsed="false">
      <c r="A181" s="6" t="n">
        <v>2021</v>
      </c>
      <c r="B181" s="6" t="n">
        <v>88</v>
      </c>
      <c r="C181" s="7" t="s">
        <v>1258</v>
      </c>
      <c r="D181" s="7" t="s">
        <v>1259</v>
      </c>
      <c r="E181" s="6" t="s">
        <v>1260</v>
      </c>
      <c r="F181" s="7" t="s">
        <v>27</v>
      </c>
      <c r="G181" s="6" t="n">
        <v>3</v>
      </c>
      <c r="H181" s="6" t="n">
        <v>6</v>
      </c>
      <c r="I181" s="6" t="n">
        <v>1</v>
      </c>
      <c r="J181" s="9" t="n">
        <v>5000</v>
      </c>
      <c r="K181" s="6" t="n">
        <v>470</v>
      </c>
      <c r="L181" s="6" t="s">
        <v>1261</v>
      </c>
      <c r="M181" s="6" t="n">
        <v>4</v>
      </c>
      <c r="N181" s="9" t="n">
        <v>5709</v>
      </c>
      <c r="O181" s="9" t="n">
        <v>0</v>
      </c>
      <c r="P181" s="16" t="n">
        <v>1.14</v>
      </c>
      <c r="Q181" s="6"/>
      <c r="R181" s="6" t="s">
        <v>1262</v>
      </c>
      <c r="S181" s="17" t="n">
        <v>5</v>
      </c>
      <c r="T181" s="11" t="s">
        <v>1263</v>
      </c>
    </row>
    <row r="182" customFormat="false" ht="15" hidden="false" customHeight="true" outlineLevel="0" collapsed="false">
      <c r="A182" s="6" t="n">
        <v>2021</v>
      </c>
      <c r="B182" s="6" t="n">
        <v>89</v>
      </c>
      <c r="C182" s="7" t="s">
        <v>1264</v>
      </c>
      <c r="D182" s="7" t="s">
        <v>1265</v>
      </c>
      <c r="E182" s="7" t="s">
        <v>364</v>
      </c>
      <c r="F182" s="7" t="s">
        <v>37</v>
      </c>
      <c r="G182" s="6" t="n">
        <v>4</v>
      </c>
      <c r="H182" s="6" t="n">
        <v>16</v>
      </c>
      <c r="I182" s="6" t="n">
        <v>8</v>
      </c>
      <c r="J182" s="9" t="n">
        <v>1400</v>
      </c>
      <c r="K182" s="6" t="n">
        <v>418</v>
      </c>
      <c r="L182" s="6" t="s">
        <v>1266</v>
      </c>
      <c r="M182" s="6" t="n">
        <v>4</v>
      </c>
      <c r="N182" s="9" t="n">
        <v>0</v>
      </c>
      <c r="O182" s="9" t="n">
        <v>3524</v>
      </c>
      <c r="P182" s="16" t="n">
        <v>2.52</v>
      </c>
      <c r="Q182" s="6"/>
      <c r="R182" s="7" t="s">
        <v>1267</v>
      </c>
      <c r="S182" s="17" t="n">
        <v>1</v>
      </c>
      <c r="T182" s="12" t="s">
        <v>1268</v>
      </c>
    </row>
    <row r="183" customFormat="false" ht="15" hidden="false" customHeight="true" outlineLevel="0" collapsed="false">
      <c r="A183" s="6" t="n">
        <v>2021</v>
      </c>
      <c r="B183" s="6" t="n">
        <v>90</v>
      </c>
      <c r="C183" s="7" t="s">
        <v>1269</v>
      </c>
      <c r="D183" s="7" t="s">
        <v>1270</v>
      </c>
      <c r="E183" s="7" t="s">
        <v>652</v>
      </c>
      <c r="F183" s="7" t="s">
        <v>37</v>
      </c>
      <c r="G183" s="6" t="n">
        <v>4</v>
      </c>
      <c r="H183" s="6" t="n">
        <v>20</v>
      </c>
      <c r="I183" s="6" t="n">
        <v>14</v>
      </c>
      <c r="J183" s="9" t="n">
        <v>1400</v>
      </c>
      <c r="K183" s="6" t="n">
        <v>459</v>
      </c>
      <c r="L183" s="6" t="s">
        <v>1271</v>
      </c>
      <c r="M183" s="6" t="n">
        <v>3</v>
      </c>
      <c r="N183" s="9" t="n">
        <v>0</v>
      </c>
      <c r="O183" s="9" t="n">
        <v>1422</v>
      </c>
      <c r="P183" s="16" t="n">
        <v>1.02</v>
      </c>
      <c r="Q183" s="6"/>
      <c r="R183" s="7" t="s">
        <v>1272</v>
      </c>
      <c r="S183" s="17" t="n">
        <v>3</v>
      </c>
      <c r="T183" s="12" t="s">
        <v>1273</v>
      </c>
    </row>
    <row r="184" customFormat="false" ht="15" hidden="false" customHeight="true" outlineLevel="0" collapsed="false">
      <c r="A184" s="6" t="n">
        <v>2021</v>
      </c>
      <c r="B184" s="6" t="n">
        <v>91</v>
      </c>
      <c r="C184" s="7" t="s">
        <v>1274</v>
      </c>
      <c r="D184" s="7" t="s">
        <v>1275</v>
      </c>
      <c r="E184" s="7" t="s">
        <v>190</v>
      </c>
      <c r="F184" s="7" t="s">
        <v>37</v>
      </c>
      <c r="G184" s="6" t="n">
        <v>4</v>
      </c>
      <c r="H184" s="6" t="n">
        <v>6</v>
      </c>
      <c r="I184" s="6" t="n">
        <v>1</v>
      </c>
      <c r="J184" s="9" t="n">
        <v>1600</v>
      </c>
      <c r="K184" s="6" t="n">
        <v>378</v>
      </c>
      <c r="L184" s="6" t="s">
        <v>1276</v>
      </c>
      <c r="M184" s="6" t="n">
        <v>0</v>
      </c>
      <c r="N184" s="9" t="n">
        <v>0</v>
      </c>
      <c r="O184" s="9" t="n">
        <v>67</v>
      </c>
      <c r="P184" s="16" t="n">
        <v>0.04</v>
      </c>
      <c r="Q184" s="6"/>
      <c r="R184" s="6" t="s">
        <v>508</v>
      </c>
      <c r="S184" s="17" t="n">
        <v>1</v>
      </c>
      <c r="T184" s="12" t="s">
        <v>1268</v>
      </c>
    </row>
    <row r="185" customFormat="false" ht="15" hidden="false" customHeight="true" outlineLevel="0" collapsed="false">
      <c r="A185" s="6" t="n">
        <v>2022</v>
      </c>
      <c r="B185" s="6" t="n">
        <v>1</v>
      </c>
      <c r="C185" s="7" t="s">
        <v>1277</v>
      </c>
      <c r="D185" s="7" t="s">
        <v>1278</v>
      </c>
      <c r="E185" s="7" t="s">
        <v>26</v>
      </c>
      <c r="F185" s="7" t="s">
        <v>27</v>
      </c>
      <c r="G185" s="6" t="n">
        <v>3</v>
      </c>
      <c r="H185" s="6" t="n">
        <v>7</v>
      </c>
      <c r="I185" s="6" t="n">
        <v>1</v>
      </c>
      <c r="J185" s="9" t="n">
        <v>5000</v>
      </c>
      <c r="K185" s="6" t="n">
        <v>387</v>
      </c>
      <c r="L185" s="6" t="s">
        <v>611</v>
      </c>
      <c r="M185" s="6" t="n">
        <v>0</v>
      </c>
      <c r="N185" s="9" t="n">
        <v>0</v>
      </c>
      <c r="O185" s="9" t="n">
        <v>0</v>
      </c>
      <c r="P185" s="16" t="n">
        <v>0</v>
      </c>
      <c r="Q185" s="6"/>
      <c r="R185" s="6" t="s">
        <v>508</v>
      </c>
      <c r="S185" s="17" t="n">
        <v>4</v>
      </c>
      <c r="T185" s="11" t="s">
        <v>166</v>
      </c>
    </row>
    <row r="186" customFormat="false" ht="15" hidden="false" customHeight="true" outlineLevel="0" collapsed="false">
      <c r="A186" s="6" t="n">
        <v>2022</v>
      </c>
      <c r="B186" s="6" t="n">
        <v>2</v>
      </c>
      <c r="C186" s="7" t="s">
        <v>1279</v>
      </c>
      <c r="D186" s="7" t="s">
        <v>1280</v>
      </c>
      <c r="E186" s="7" t="s">
        <v>26</v>
      </c>
      <c r="F186" s="7" t="s">
        <v>37</v>
      </c>
      <c r="G186" s="6" t="n">
        <v>1</v>
      </c>
      <c r="H186" s="6" t="n">
        <v>7</v>
      </c>
      <c r="I186" s="6" t="n">
        <v>1</v>
      </c>
      <c r="J186" s="9" t="n">
        <v>4000</v>
      </c>
      <c r="K186" s="6" t="n">
        <v>454</v>
      </c>
      <c r="L186" s="6" t="s">
        <v>1281</v>
      </c>
      <c r="M186" s="6" t="n">
        <v>1</v>
      </c>
      <c r="N186" s="9" t="n">
        <v>300</v>
      </c>
      <c r="O186" s="9" t="n">
        <v>157</v>
      </c>
      <c r="P186" s="16" t="n">
        <v>0.11</v>
      </c>
      <c r="Q186" s="6"/>
      <c r="R186" s="7" t="s">
        <v>1282</v>
      </c>
      <c r="S186" s="17" t="n">
        <v>2</v>
      </c>
      <c r="T186" s="11" t="s">
        <v>1283</v>
      </c>
    </row>
    <row r="187" customFormat="false" ht="15" hidden="false" customHeight="true" outlineLevel="0" collapsed="false">
      <c r="A187" s="6" t="n">
        <v>2022</v>
      </c>
      <c r="B187" s="6" t="n">
        <v>3</v>
      </c>
      <c r="C187" s="7" t="s">
        <v>1284</v>
      </c>
      <c r="D187" s="7" t="s">
        <v>1285</v>
      </c>
      <c r="E187" s="7" t="s">
        <v>26</v>
      </c>
      <c r="F187" s="7" t="s">
        <v>37</v>
      </c>
      <c r="G187" s="6" t="n">
        <v>2</v>
      </c>
      <c r="H187" s="6" t="n">
        <v>14</v>
      </c>
      <c r="I187" s="6" t="n">
        <v>9</v>
      </c>
      <c r="J187" s="9" t="n">
        <v>6000</v>
      </c>
      <c r="K187" s="6" t="n">
        <v>485</v>
      </c>
      <c r="L187" s="6" t="s">
        <v>1286</v>
      </c>
      <c r="M187" s="6" t="n">
        <v>2</v>
      </c>
      <c r="N187" s="9" t="n">
        <v>1640</v>
      </c>
      <c r="O187" s="9" t="n">
        <v>0</v>
      </c>
      <c r="P187" s="16" t="n">
        <v>0.27</v>
      </c>
      <c r="Q187" s="6"/>
      <c r="R187" s="6" t="s">
        <v>1287</v>
      </c>
      <c r="S187" s="17" t="n">
        <v>2</v>
      </c>
      <c r="T187" s="12" t="s">
        <v>1288</v>
      </c>
    </row>
    <row r="188" customFormat="false" ht="15" hidden="false" customHeight="true" outlineLevel="0" collapsed="false">
      <c r="A188" s="6" t="n">
        <v>2022</v>
      </c>
      <c r="B188" s="6" t="n">
        <v>4</v>
      </c>
      <c r="C188" s="7" t="s">
        <v>1289</v>
      </c>
      <c r="D188" s="7" t="s">
        <v>1290</v>
      </c>
      <c r="E188" s="7" t="s">
        <v>26</v>
      </c>
      <c r="F188" s="7" t="s">
        <v>37</v>
      </c>
      <c r="G188" s="6" t="n">
        <v>3</v>
      </c>
      <c r="H188" s="6" t="n">
        <v>14</v>
      </c>
      <c r="I188" s="6" t="n">
        <v>8</v>
      </c>
      <c r="J188" s="9" t="n">
        <v>5000</v>
      </c>
      <c r="K188" s="6" t="n">
        <v>454</v>
      </c>
      <c r="L188" s="6" t="s">
        <v>611</v>
      </c>
      <c r="M188" s="6" t="n">
        <v>0</v>
      </c>
      <c r="N188" s="9" t="n">
        <v>0</v>
      </c>
      <c r="O188" s="9" t="n">
        <v>0</v>
      </c>
      <c r="P188" s="16" t="n">
        <v>0</v>
      </c>
      <c r="Q188" s="6"/>
      <c r="R188" s="6" t="s">
        <v>508</v>
      </c>
      <c r="S188" s="17" t="n">
        <v>4</v>
      </c>
      <c r="T188" s="12" t="s">
        <v>1291</v>
      </c>
    </row>
    <row r="189" customFormat="false" ht="15" hidden="false" customHeight="true" outlineLevel="0" collapsed="false">
      <c r="A189" s="6" t="n">
        <v>2022</v>
      </c>
      <c r="B189" s="6" t="n">
        <v>5</v>
      </c>
      <c r="C189" s="7" t="s">
        <v>1292</v>
      </c>
      <c r="D189" s="7" t="s">
        <v>1293</v>
      </c>
      <c r="E189" s="7" t="s">
        <v>227</v>
      </c>
      <c r="F189" s="7" t="s">
        <v>27</v>
      </c>
      <c r="G189" s="6" t="n">
        <v>1</v>
      </c>
      <c r="H189" s="6" t="n">
        <v>9</v>
      </c>
      <c r="I189" s="6" t="n">
        <v>4</v>
      </c>
      <c r="J189" s="9" t="n">
        <v>7000</v>
      </c>
      <c r="K189" s="6" t="n">
        <v>482</v>
      </c>
      <c r="L189" s="6" t="s">
        <v>1294</v>
      </c>
      <c r="M189" s="6" t="n">
        <v>0</v>
      </c>
      <c r="N189" s="9" t="n">
        <v>290</v>
      </c>
      <c r="O189" s="9" t="n">
        <v>0</v>
      </c>
      <c r="P189" s="16" t="n">
        <v>0.04</v>
      </c>
      <c r="Q189" s="6"/>
      <c r="R189" s="6" t="s">
        <v>508</v>
      </c>
      <c r="S189" s="17" t="n">
        <v>4</v>
      </c>
      <c r="T189" s="11" t="s">
        <v>1295</v>
      </c>
    </row>
    <row r="190" customFormat="false" ht="15" hidden="false" customHeight="true" outlineLevel="0" collapsed="false">
      <c r="A190" s="6" t="n">
        <v>2022</v>
      </c>
      <c r="B190" s="6" t="n">
        <v>6</v>
      </c>
      <c r="C190" s="7" t="s">
        <v>1296</v>
      </c>
      <c r="D190" s="7" t="s">
        <v>1297</v>
      </c>
      <c r="E190" s="7" t="s">
        <v>89</v>
      </c>
      <c r="F190" s="7" t="s">
        <v>37</v>
      </c>
      <c r="G190" s="6" t="n">
        <v>3</v>
      </c>
      <c r="H190" s="6" t="n">
        <v>11</v>
      </c>
      <c r="I190" s="6" t="n">
        <v>5</v>
      </c>
      <c r="J190" s="9" t="n">
        <v>7000</v>
      </c>
      <c r="K190" s="6" t="n">
        <v>450</v>
      </c>
      <c r="L190" s="6" t="s">
        <v>1298</v>
      </c>
      <c r="M190" s="6" t="n">
        <v>2</v>
      </c>
      <c r="N190" s="9" t="n">
        <v>5033</v>
      </c>
      <c r="O190" s="9" t="n">
        <v>0</v>
      </c>
      <c r="P190" s="16" t="n">
        <v>0.72</v>
      </c>
      <c r="Q190" s="6"/>
      <c r="R190" s="6" t="s">
        <v>1299</v>
      </c>
      <c r="S190" s="17" t="n">
        <v>4</v>
      </c>
      <c r="T190" s="12" t="s">
        <v>1300</v>
      </c>
    </row>
    <row r="191" customFormat="false" ht="15" hidden="false" customHeight="true" outlineLevel="0" collapsed="false">
      <c r="A191" s="6" t="n">
        <v>2022</v>
      </c>
      <c r="B191" s="6" t="n">
        <v>7</v>
      </c>
      <c r="C191" s="7" t="s">
        <v>1301</v>
      </c>
      <c r="D191" s="7" t="s">
        <v>1302</v>
      </c>
      <c r="E191" s="7" t="s">
        <v>89</v>
      </c>
      <c r="F191" s="7" t="s">
        <v>37</v>
      </c>
      <c r="G191" s="6" t="n">
        <v>5</v>
      </c>
      <c r="H191" s="6" t="n">
        <v>9</v>
      </c>
      <c r="I191" s="6" t="n">
        <v>3</v>
      </c>
      <c r="J191" s="9" t="n">
        <v>4000</v>
      </c>
      <c r="K191" s="6" t="n">
        <v>440</v>
      </c>
      <c r="L191" s="6" t="s">
        <v>1303</v>
      </c>
      <c r="M191" s="6" t="n">
        <v>3</v>
      </c>
      <c r="N191" s="9" t="n">
        <v>6552</v>
      </c>
      <c r="O191" s="9" t="n">
        <v>0</v>
      </c>
      <c r="P191" s="16" t="n">
        <v>1.64</v>
      </c>
      <c r="Q191" s="6"/>
      <c r="R191" s="6" t="s">
        <v>1304</v>
      </c>
      <c r="S191" s="17" t="n">
        <v>3</v>
      </c>
      <c r="T191" s="11" t="s">
        <v>1305</v>
      </c>
    </row>
    <row r="192" customFormat="false" ht="15" hidden="false" customHeight="true" outlineLevel="0" collapsed="false">
      <c r="A192" s="6" t="n">
        <v>2022</v>
      </c>
      <c r="B192" s="6" t="n">
        <v>8</v>
      </c>
      <c r="C192" s="7" t="s">
        <v>1306</v>
      </c>
      <c r="D192" s="7" t="s">
        <v>1307</v>
      </c>
      <c r="E192" s="7" t="s">
        <v>72</v>
      </c>
      <c r="F192" s="7" t="s">
        <v>27</v>
      </c>
      <c r="G192" s="6" t="n">
        <v>4</v>
      </c>
      <c r="H192" s="6" t="n">
        <v>8</v>
      </c>
      <c r="I192" s="6" t="n">
        <v>2</v>
      </c>
      <c r="J192" s="9" t="n">
        <v>5000</v>
      </c>
      <c r="K192" s="6" t="n">
        <v>429</v>
      </c>
      <c r="L192" s="6" t="s">
        <v>1308</v>
      </c>
      <c r="M192" s="6" t="n">
        <v>6</v>
      </c>
      <c r="N192" s="9" t="n">
        <v>39269</v>
      </c>
      <c r="O192" s="9" t="n">
        <v>2800</v>
      </c>
      <c r="P192" s="16" t="n">
        <v>8.41</v>
      </c>
      <c r="Q192" s="6" t="s">
        <v>32</v>
      </c>
      <c r="R192" s="6" t="s">
        <v>1309</v>
      </c>
      <c r="S192" s="17" t="n">
        <v>5</v>
      </c>
      <c r="T192" s="11" t="s">
        <v>1310</v>
      </c>
    </row>
    <row r="193" customFormat="false" ht="15" hidden="false" customHeight="true" outlineLevel="0" collapsed="false">
      <c r="A193" s="6" t="n">
        <v>2022</v>
      </c>
      <c r="B193" s="6" t="n">
        <v>9</v>
      </c>
      <c r="C193" s="7" t="s">
        <v>1311</v>
      </c>
      <c r="D193" s="7" t="s">
        <v>1312</v>
      </c>
      <c r="E193" s="7" t="s">
        <v>72</v>
      </c>
      <c r="F193" s="7" t="s">
        <v>37</v>
      </c>
      <c r="G193" s="6" t="n">
        <v>2</v>
      </c>
      <c r="H193" s="6" t="n">
        <v>13</v>
      </c>
      <c r="I193" s="6" t="n">
        <v>8</v>
      </c>
      <c r="J193" s="9" t="n">
        <v>3600</v>
      </c>
      <c r="K193" s="6" t="n">
        <v>410</v>
      </c>
      <c r="L193" s="6" t="s">
        <v>843</v>
      </c>
      <c r="M193" s="6" t="n">
        <v>0</v>
      </c>
      <c r="N193" s="9" t="n">
        <v>303</v>
      </c>
      <c r="O193" s="9" t="n">
        <v>0</v>
      </c>
      <c r="P193" s="16" t="n">
        <v>0.08</v>
      </c>
      <c r="Q193" s="6"/>
      <c r="R193" s="6" t="s">
        <v>508</v>
      </c>
      <c r="S193" s="17" t="n">
        <v>2</v>
      </c>
      <c r="T193" s="12" t="s">
        <v>140</v>
      </c>
    </row>
    <row r="194" customFormat="false" ht="15" hidden="false" customHeight="true" outlineLevel="0" collapsed="false">
      <c r="A194" s="6" t="n">
        <v>2022</v>
      </c>
      <c r="B194" s="6" t="n">
        <v>10</v>
      </c>
      <c r="C194" s="7" t="s">
        <v>1313</v>
      </c>
      <c r="D194" s="7" t="s">
        <v>1314</v>
      </c>
      <c r="E194" s="7" t="s">
        <v>72</v>
      </c>
      <c r="F194" s="7" t="s">
        <v>37</v>
      </c>
      <c r="G194" s="6" t="n">
        <v>3</v>
      </c>
      <c r="H194" s="6" t="n">
        <v>10</v>
      </c>
      <c r="I194" s="6" t="n">
        <v>4</v>
      </c>
      <c r="J194" s="9" t="n">
        <v>3200</v>
      </c>
      <c r="K194" s="6" t="n">
        <v>421</v>
      </c>
      <c r="L194" s="6" t="s">
        <v>1315</v>
      </c>
      <c r="M194" s="6" t="n">
        <v>1</v>
      </c>
      <c r="N194" s="9" t="n">
        <v>720</v>
      </c>
      <c r="O194" s="9" t="n">
        <v>0</v>
      </c>
      <c r="P194" s="16" t="n">
        <v>0.23</v>
      </c>
      <c r="Q194" s="6"/>
      <c r="R194" s="6" t="s">
        <v>1316</v>
      </c>
      <c r="S194" s="17" t="n">
        <v>4</v>
      </c>
      <c r="T194" s="12" t="s">
        <v>1002</v>
      </c>
    </row>
    <row r="195" customFormat="false" ht="15" hidden="false" customHeight="true" outlineLevel="0" collapsed="false">
      <c r="A195" s="6" t="n">
        <v>2022</v>
      </c>
      <c r="B195" s="6" t="n">
        <v>11</v>
      </c>
      <c r="C195" s="7" t="s">
        <v>1317</v>
      </c>
      <c r="D195" s="7" t="s">
        <v>1318</v>
      </c>
      <c r="E195" s="7" t="s">
        <v>299</v>
      </c>
      <c r="F195" s="7" t="s">
        <v>27</v>
      </c>
      <c r="G195" s="6" t="n">
        <v>2</v>
      </c>
      <c r="H195" s="6" t="n">
        <v>9</v>
      </c>
      <c r="I195" s="6" t="n">
        <v>3</v>
      </c>
      <c r="J195" s="9" t="n">
        <v>6000</v>
      </c>
      <c r="K195" s="6" t="n">
        <v>466</v>
      </c>
      <c r="L195" s="6" t="s">
        <v>691</v>
      </c>
      <c r="M195" s="6" t="n">
        <v>0</v>
      </c>
      <c r="N195" s="9" t="n">
        <v>0</v>
      </c>
      <c r="O195" s="9" t="n">
        <v>0</v>
      </c>
      <c r="P195" s="16" t="n">
        <v>0</v>
      </c>
      <c r="Q195" s="6"/>
      <c r="R195" s="6" t="s">
        <v>508</v>
      </c>
      <c r="S195" s="17" t="n">
        <v>4</v>
      </c>
      <c r="T195" s="11" t="s">
        <v>1319</v>
      </c>
    </row>
    <row r="196" customFormat="false" ht="15" hidden="false" customHeight="true" outlineLevel="0" collapsed="false">
      <c r="A196" s="6" t="n">
        <v>2022</v>
      </c>
      <c r="B196" s="6" t="n">
        <v>12</v>
      </c>
      <c r="C196" s="7" t="s">
        <v>1320</v>
      </c>
      <c r="D196" s="7" t="s">
        <v>1321</v>
      </c>
      <c r="E196" s="7" t="s">
        <v>299</v>
      </c>
      <c r="F196" s="7" t="s">
        <v>37</v>
      </c>
      <c r="G196" s="6" t="n">
        <v>4</v>
      </c>
      <c r="H196" s="6" t="n">
        <v>11</v>
      </c>
      <c r="I196" s="6" t="n">
        <v>5</v>
      </c>
      <c r="J196" s="9" t="n">
        <v>4000</v>
      </c>
      <c r="K196" s="6" t="n">
        <v>435</v>
      </c>
      <c r="L196" s="6" t="s">
        <v>507</v>
      </c>
      <c r="M196" s="6" t="n">
        <v>0</v>
      </c>
      <c r="N196" s="9" t="n">
        <v>155</v>
      </c>
      <c r="O196" s="9" t="n">
        <v>0</v>
      </c>
      <c r="P196" s="16" t="n">
        <v>0.04</v>
      </c>
      <c r="Q196" s="6"/>
      <c r="R196" s="6" t="s">
        <v>508</v>
      </c>
      <c r="S196" s="17" t="n">
        <v>5</v>
      </c>
      <c r="T196" s="12" t="s">
        <v>1322</v>
      </c>
    </row>
    <row r="197" customFormat="false" ht="15" hidden="false" customHeight="true" outlineLevel="0" collapsed="false">
      <c r="A197" s="6" t="n">
        <v>2022</v>
      </c>
      <c r="B197" s="6" t="n">
        <v>13</v>
      </c>
      <c r="C197" s="7" t="s">
        <v>1323</v>
      </c>
      <c r="D197" s="7" t="s">
        <v>1324</v>
      </c>
      <c r="E197" s="7" t="s">
        <v>299</v>
      </c>
      <c r="F197" s="7" t="s">
        <v>37</v>
      </c>
      <c r="G197" s="6" t="n">
        <v>4</v>
      </c>
      <c r="H197" s="6" t="n">
        <v>11</v>
      </c>
      <c r="I197" s="6" t="n">
        <v>6</v>
      </c>
      <c r="J197" s="9" t="n">
        <v>2400</v>
      </c>
      <c r="K197" s="6" t="n">
        <v>440</v>
      </c>
      <c r="L197" s="6" t="s">
        <v>538</v>
      </c>
      <c r="M197" s="6" t="n">
        <v>0</v>
      </c>
      <c r="N197" s="9" t="n">
        <v>0</v>
      </c>
      <c r="O197" s="9" t="n">
        <v>0</v>
      </c>
      <c r="P197" s="16" t="n">
        <v>0</v>
      </c>
      <c r="Q197" s="6"/>
      <c r="R197" s="6" t="s">
        <v>508</v>
      </c>
      <c r="S197" s="17" t="n">
        <v>4</v>
      </c>
      <c r="T197" s="12" t="s">
        <v>1325</v>
      </c>
    </row>
    <row r="198" customFormat="false" ht="15" hidden="false" customHeight="true" outlineLevel="0" collapsed="false">
      <c r="A198" s="6" t="n">
        <v>2022</v>
      </c>
      <c r="B198" s="6" t="n">
        <v>14</v>
      </c>
      <c r="C198" s="7" t="s">
        <v>1326</v>
      </c>
      <c r="D198" s="7" t="s">
        <v>1327</v>
      </c>
      <c r="E198" s="7" t="s">
        <v>135</v>
      </c>
      <c r="F198" s="7" t="s">
        <v>27</v>
      </c>
      <c r="G198" s="6" t="n">
        <v>1</v>
      </c>
      <c r="H198" s="6" t="n">
        <v>18</v>
      </c>
      <c r="I198" s="6" t="n">
        <v>12</v>
      </c>
      <c r="J198" s="9" t="n">
        <v>5000</v>
      </c>
      <c r="K198" s="6" t="n">
        <v>522</v>
      </c>
      <c r="L198" s="6" t="s">
        <v>1328</v>
      </c>
      <c r="M198" s="6" t="n">
        <v>4</v>
      </c>
      <c r="N198" s="9" t="n">
        <v>10337</v>
      </c>
      <c r="O198" s="9" t="n">
        <v>0</v>
      </c>
      <c r="P198" s="16" t="n">
        <v>2.07</v>
      </c>
      <c r="Q198" s="6" t="s">
        <v>32</v>
      </c>
      <c r="R198" s="6" t="s">
        <v>1329</v>
      </c>
      <c r="S198" s="17" t="n">
        <v>4</v>
      </c>
      <c r="T198" s="11" t="s">
        <v>1330</v>
      </c>
    </row>
    <row r="199" customFormat="false" ht="15" hidden="false" customHeight="true" outlineLevel="0" collapsed="false">
      <c r="A199" s="6" t="n">
        <v>2022</v>
      </c>
      <c r="B199" s="6" t="n">
        <v>15</v>
      </c>
      <c r="C199" s="7" t="s">
        <v>1331</v>
      </c>
      <c r="D199" s="7" t="s">
        <v>1332</v>
      </c>
      <c r="E199" s="7" t="s">
        <v>135</v>
      </c>
      <c r="F199" s="7" t="s">
        <v>27</v>
      </c>
      <c r="G199" s="6" t="n">
        <v>2</v>
      </c>
      <c r="H199" s="6" t="n">
        <v>7</v>
      </c>
      <c r="I199" s="6" t="n">
        <v>1</v>
      </c>
      <c r="J199" s="9" t="n">
        <v>3200</v>
      </c>
      <c r="K199" s="6" t="n">
        <v>418</v>
      </c>
      <c r="L199" s="6" t="s">
        <v>1333</v>
      </c>
      <c r="M199" s="6" t="n">
        <v>3</v>
      </c>
      <c r="N199" s="9" t="n">
        <v>858</v>
      </c>
      <c r="O199" s="9" t="n">
        <v>296</v>
      </c>
      <c r="P199" s="16" t="n">
        <v>0.36</v>
      </c>
      <c r="Q199" s="6"/>
      <c r="R199" s="6" t="s">
        <v>1334</v>
      </c>
      <c r="S199" s="17" t="n">
        <v>3</v>
      </c>
      <c r="T199" s="11" t="s">
        <v>546</v>
      </c>
    </row>
    <row r="200" customFormat="false" ht="15" hidden="false" customHeight="true" outlineLevel="0" collapsed="false">
      <c r="A200" s="6" t="n">
        <v>2022</v>
      </c>
      <c r="B200" s="6" t="n">
        <v>16</v>
      </c>
      <c r="C200" s="7" t="s">
        <v>1335</v>
      </c>
      <c r="D200" s="7" t="s">
        <v>1336</v>
      </c>
      <c r="E200" s="7" t="s">
        <v>135</v>
      </c>
      <c r="F200" s="7" t="s">
        <v>27</v>
      </c>
      <c r="G200" s="6" t="n">
        <v>3</v>
      </c>
      <c r="H200" s="6" t="n">
        <v>7</v>
      </c>
      <c r="I200" s="6" t="n">
        <v>1</v>
      </c>
      <c r="J200" s="9" t="n">
        <v>4000</v>
      </c>
      <c r="K200" s="6" t="n">
        <v>437</v>
      </c>
      <c r="L200" s="6" t="s">
        <v>1337</v>
      </c>
      <c r="M200" s="6" t="n">
        <v>4</v>
      </c>
      <c r="N200" s="9" t="n">
        <v>742</v>
      </c>
      <c r="O200" s="9" t="n">
        <v>175</v>
      </c>
      <c r="P200" s="16" t="n">
        <v>0.23</v>
      </c>
      <c r="Q200" s="6"/>
      <c r="R200" s="6" t="s">
        <v>1338</v>
      </c>
      <c r="S200" s="17" t="n">
        <v>5</v>
      </c>
      <c r="T200" s="11" t="s">
        <v>1339</v>
      </c>
    </row>
    <row r="201" customFormat="false" ht="15" hidden="false" customHeight="true" outlineLevel="0" collapsed="false">
      <c r="A201" s="6" t="n">
        <v>2022</v>
      </c>
      <c r="B201" s="6" t="n">
        <v>17</v>
      </c>
      <c r="C201" s="7" t="s">
        <v>1340</v>
      </c>
      <c r="D201" s="7" t="s">
        <v>1341</v>
      </c>
      <c r="E201" s="7" t="s">
        <v>135</v>
      </c>
      <c r="F201" s="7" t="s">
        <v>37</v>
      </c>
      <c r="G201" s="6" t="n">
        <v>2</v>
      </c>
      <c r="H201" s="6" t="n">
        <v>13</v>
      </c>
      <c r="I201" s="6" t="n">
        <v>7</v>
      </c>
      <c r="J201" s="9" t="n">
        <v>2400</v>
      </c>
      <c r="K201" s="6" t="n">
        <v>480</v>
      </c>
      <c r="L201" s="6" t="s">
        <v>1342</v>
      </c>
      <c r="M201" s="6" t="n">
        <v>1</v>
      </c>
      <c r="N201" s="9" t="n">
        <v>923</v>
      </c>
      <c r="O201" s="9" t="n">
        <v>80</v>
      </c>
      <c r="P201" s="16" t="n">
        <v>0.42</v>
      </c>
      <c r="Q201" s="6"/>
      <c r="R201" s="6" t="s">
        <v>1343</v>
      </c>
      <c r="S201" s="17" t="n">
        <v>2</v>
      </c>
      <c r="T201" s="12" t="s">
        <v>1344</v>
      </c>
    </row>
    <row r="202" customFormat="false" ht="15" hidden="false" customHeight="true" outlineLevel="0" collapsed="false">
      <c r="A202" s="6" t="n">
        <v>2022</v>
      </c>
      <c r="B202" s="6" t="n">
        <v>18</v>
      </c>
      <c r="C202" s="7" t="s">
        <v>1345</v>
      </c>
      <c r="D202" s="7" t="s">
        <v>1345</v>
      </c>
      <c r="E202" s="7" t="s">
        <v>135</v>
      </c>
      <c r="F202" s="7" t="s">
        <v>37</v>
      </c>
      <c r="G202" s="6" t="n">
        <v>2</v>
      </c>
      <c r="H202" s="6" t="n">
        <v>5</v>
      </c>
      <c r="I202" s="6" t="n">
        <v>1</v>
      </c>
      <c r="J202" s="9" t="n">
        <v>2000</v>
      </c>
      <c r="K202" s="6" t="n">
        <v>403</v>
      </c>
      <c r="L202" s="6" t="s">
        <v>538</v>
      </c>
      <c r="M202" s="6" t="n">
        <v>0</v>
      </c>
      <c r="N202" s="9" t="n">
        <v>0</v>
      </c>
      <c r="O202" s="9" t="n">
        <v>0</v>
      </c>
      <c r="P202" s="16" t="n">
        <v>0</v>
      </c>
      <c r="Q202" s="6"/>
      <c r="R202" s="6" t="s">
        <v>508</v>
      </c>
      <c r="S202" s="17" t="n">
        <v>0</v>
      </c>
      <c r="T202" s="11" t="s">
        <v>1070</v>
      </c>
    </row>
    <row r="203" customFormat="false" ht="15" hidden="false" customHeight="true" outlineLevel="0" collapsed="false">
      <c r="A203" s="6" t="n">
        <v>2022</v>
      </c>
      <c r="B203" s="6" t="n">
        <v>19</v>
      </c>
      <c r="C203" s="7" t="s">
        <v>1346</v>
      </c>
      <c r="D203" s="7" t="s">
        <v>1347</v>
      </c>
      <c r="E203" s="7" t="s">
        <v>142</v>
      </c>
      <c r="F203" s="7" t="s">
        <v>27</v>
      </c>
      <c r="G203" s="6" t="n">
        <v>4</v>
      </c>
      <c r="H203" s="6" t="n">
        <v>10</v>
      </c>
      <c r="I203" s="6" t="n">
        <v>4</v>
      </c>
      <c r="J203" s="9" t="n">
        <v>3200</v>
      </c>
      <c r="K203" s="6" t="n">
        <v>440</v>
      </c>
      <c r="L203" s="6" t="s">
        <v>1348</v>
      </c>
      <c r="M203" s="6" t="n">
        <v>2</v>
      </c>
      <c r="N203" s="9" t="n">
        <v>2370</v>
      </c>
      <c r="O203" s="9" t="n">
        <v>0</v>
      </c>
      <c r="P203" s="16" t="n">
        <v>0.74</v>
      </c>
      <c r="Q203" s="6"/>
      <c r="R203" s="6" t="s">
        <v>1349</v>
      </c>
      <c r="S203" s="17" t="n">
        <v>6</v>
      </c>
      <c r="T203" s="11" t="s">
        <v>1350</v>
      </c>
    </row>
    <row r="204" customFormat="false" ht="15" hidden="false" customHeight="true" outlineLevel="0" collapsed="false">
      <c r="A204" s="6" t="n">
        <v>2022</v>
      </c>
      <c r="B204" s="6" t="n">
        <v>20</v>
      </c>
      <c r="C204" s="7" t="s">
        <v>1351</v>
      </c>
      <c r="D204" s="7" t="s">
        <v>1352</v>
      </c>
      <c r="E204" s="7" t="s">
        <v>142</v>
      </c>
      <c r="F204" s="7" t="s">
        <v>27</v>
      </c>
      <c r="G204" s="6" t="n">
        <v>5</v>
      </c>
      <c r="H204" s="6" t="n">
        <v>21</v>
      </c>
      <c r="I204" s="6" t="n">
        <v>14</v>
      </c>
      <c r="J204" s="9" t="n">
        <v>3000</v>
      </c>
      <c r="K204" s="6" t="n">
        <v>439</v>
      </c>
      <c r="L204" s="6" t="s">
        <v>1353</v>
      </c>
      <c r="M204" s="6" t="n">
        <v>3</v>
      </c>
      <c r="N204" s="9" t="n">
        <v>3084</v>
      </c>
      <c r="O204" s="9" t="n">
        <v>217</v>
      </c>
      <c r="P204" s="16" t="n">
        <v>1.1</v>
      </c>
      <c r="Q204" s="6"/>
      <c r="R204" s="6" t="s">
        <v>1354</v>
      </c>
      <c r="S204" s="17" t="n">
        <v>4</v>
      </c>
      <c r="T204" s="11" t="s">
        <v>810</v>
      </c>
    </row>
    <row r="205" customFormat="false" ht="15" hidden="false" customHeight="true" outlineLevel="0" collapsed="false">
      <c r="A205" s="6" t="n">
        <v>2022</v>
      </c>
      <c r="B205" s="6" t="n">
        <v>21</v>
      </c>
      <c r="C205" s="7" t="s">
        <v>1355</v>
      </c>
      <c r="D205" s="7" t="s">
        <v>1356</v>
      </c>
      <c r="E205" s="7" t="s">
        <v>142</v>
      </c>
      <c r="F205" s="7" t="s">
        <v>37</v>
      </c>
      <c r="G205" s="6" t="n">
        <v>1</v>
      </c>
      <c r="H205" s="6" t="n">
        <v>11</v>
      </c>
      <c r="I205" s="6" t="n">
        <v>5</v>
      </c>
      <c r="J205" s="9" t="n">
        <v>2400</v>
      </c>
      <c r="K205" s="6" t="n">
        <v>433</v>
      </c>
      <c r="L205" s="6" t="s">
        <v>724</v>
      </c>
      <c r="M205" s="6" t="n">
        <v>1</v>
      </c>
      <c r="N205" s="9" t="n">
        <v>860</v>
      </c>
      <c r="O205" s="9" t="n">
        <v>0</v>
      </c>
      <c r="P205" s="16" t="n">
        <v>0.36</v>
      </c>
      <c r="Q205" s="6"/>
      <c r="R205" s="6" t="s">
        <v>1357</v>
      </c>
      <c r="S205" s="17" t="n">
        <v>3</v>
      </c>
      <c r="T205" s="12" t="s">
        <v>1358</v>
      </c>
    </row>
    <row r="206" customFormat="false" ht="15" hidden="false" customHeight="true" outlineLevel="0" collapsed="false">
      <c r="A206" s="6" t="n">
        <v>2022</v>
      </c>
      <c r="B206" s="6" t="n">
        <v>22</v>
      </c>
      <c r="C206" s="7" t="s">
        <v>1359</v>
      </c>
      <c r="D206" s="7" t="s">
        <v>1360</v>
      </c>
      <c r="E206" s="7" t="s">
        <v>142</v>
      </c>
      <c r="F206" s="7" t="s">
        <v>37</v>
      </c>
      <c r="G206" s="6" t="n">
        <v>2</v>
      </c>
      <c r="H206" s="6" t="n">
        <v>7</v>
      </c>
      <c r="I206" s="6" t="n">
        <v>2</v>
      </c>
      <c r="J206" s="9" t="n">
        <v>2000</v>
      </c>
      <c r="K206" s="6" t="n">
        <v>441</v>
      </c>
      <c r="L206" s="6" t="s">
        <v>1361</v>
      </c>
      <c r="M206" s="6" t="n">
        <v>2</v>
      </c>
      <c r="N206" s="9" t="n">
        <v>550</v>
      </c>
      <c r="O206" s="9" t="n">
        <v>85</v>
      </c>
      <c r="P206" s="16" t="n">
        <v>0.32</v>
      </c>
      <c r="Q206" s="6"/>
      <c r="R206" s="6" t="s">
        <v>1362</v>
      </c>
      <c r="S206" s="17" t="n">
        <v>2</v>
      </c>
      <c r="T206" s="12" t="s">
        <v>1363</v>
      </c>
    </row>
    <row r="207" customFormat="false" ht="15" hidden="false" customHeight="true" outlineLevel="0" collapsed="false">
      <c r="A207" s="6" t="n">
        <v>2022</v>
      </c>
      <c r="B207" s="6" t="n">
        <v>23</v>
      </c>
      <c r="C207" s="7" t="s">
        <v>1364</v>
      </c>
      <c r="D207" s="7" t="s">
        <v>1365</v>
      </c>
      <c r="E207" s="7" t="s">
        <v>1366</v>
      </c>
      <c r="F207" s="7" t="s">
        <v>37</v>
      </c>
      <c r="G207" s="6" t="n">
        <v>2</v>
      </c>
      <c r="H207" s="6" t="n">
        <v>8</v>
      </c>
      <c r="I207" s="6" t="n">
        <v>2</v>
      </c>
      <c r="J207" s="9" t="n">
        <v>2000</v>
      </c>
      <c r="K207" s="6" t="n">
        <v>411</v>
      </c>
      <c r="L207" s="6" t="s">
        <v>538</v>
      </c>
      <c r="M207" s="6" t="n">
        <v>0</v>
      </c>
      <c r="N207" s="9" t="n">
        <v>0</v>
      </c>
      <c r="O207" s="9" t="n">
        <v>0</v>
      </c>
      <c r="P207" s="16" t="n">
        <v>0</v>
      </c>
      <c r="Q207" s="6"/>
      <c r="R207" s="6" t="s">
        <v>508</v>
      </c>
      <c r="S207" s="17" t="n">
        <v>1</v>
      </c>
      <c r="T207" s="11" t="s">
        <v>1367</v>
      </c>
    </row>
    <row r="208" customFormat="false" ht="15" hidden="false" customHeight="true" outlineLevel="0" collapsed="false">
      <c r="A208" s="6" t="n">
        <v>2022</v>
      </c>
      <c r="B208" s="6" t="n">
        <v>24</v>
      </c>
      <c r="C208" s="7" t="s">
        <v>1368</v>
      </c>
      <c r="D208" s="7" t="s">
        <v>1369</v>
      </c>
      <c r="E208" s="7" t="s">
        <v>1366</v>
      </c>
      <c r="F208" s="7" t="s">
        <v>37</v>
      </c>
      <c r="G208" s="6" t="n">
        <v>3</v>
      </c>
      <c r="H208" s="6" t="n">
        <v>7</v>
      </c>
      <c r="I208" s="6" t="n">
        <v>2</v>
      </c>
      <c r="J208" s="9" t="n">
        <v>2800</v>
      </c>
      <c r="K208" s="6" t="n">
        <v>412</v>
      </c>
      <c r="L208" s="6" t="s">
        <v>611</v>
      </c>
      <c r="M208" s="6" t="n">
        <v>0</v>
      </c>
      <c r="N208" s="9" t="n">
        <v>0</v>
      </c>
      <c r="O208" s="9" t="n">
        <v>0</v>
      </c>
      <c r="P208" s="16" t="n">
        <v>0</v>
      </c>
      <c r="Q208" s="6"/>
      <c r="R208" s="6" t="s">
        <v>508</v>
      </c>
      <c r="S208" s="17" t="n">
        <v>3</v>
      </c>
      <c r="T208" s="12" t="s">
        <v>117</v>
      </c>
    </row>
    <row r="209" customFormat="false" ht="15" hidden="false" customHeight="true" outlineLevel="0" collapsed="false">
      <c r="A209" s="6" t="n">
        <v>2022</v>
      </c>
      <c r="B209" s="6" t="n">
        <v>25</v>
      </c>
      <c r="C209" s="7" t="s">
        <v>1370</v>
      </c>
      <c r="D209" s="7" t="s">
        <v>1371</v>
      </c>
      <c r="E209" s="7" t="s">
        <v>1366</v>
      </c>
      <c r="F209" s="7" t="s">
        <v>37</v>
      </c>
      <c r="G209" s="6" t="n">
        <v>4</v>
      </c>
      <c r="H209" s="6" t="n">
        <v>17</v>
      </c>
      <c r="I209" s="6" t="n">
        <v>9</v>
      </c>
      <c r="J209" s="9" t="n">
        <v>2000</v>
      </c>
      <c r="K209" s="6" t="n">
        <v>390</v>
      </c>
      <c r="L209" s="6" t="s">
        <v>507</v>
      </c>
      <c r="M209" s="6" t="n">
        <v>0</v>
      </c>
      <c r="N209" s="9" t="n">
        <v>0</v>
      </c>
      <c r="O209" s="9" t="n">
        <v>0</v>
      </c>
      <c r="P209" s="16" t="n">
        <v>0</v>
      </c>
      <c r="Q209" s="6"/>
      <c r="R209" s="6" t="s">
        <v>508</v>
      </c>
      <c r="S209" s="17" t="n">
        <v>1</v>
      </c>
      <c r="T209" s="12" t="s">
        <v>1268</v>
      </c>
    </row>
    <row r="210" customFormat="false" ht="15" hidden="false" customHeight="true" outlineLevel="0" collapsed="false">
      <c r="A210" s="6" t="n">
        <v>2022</v>
      </c>
      <c r="B210" s="6" t="n">
        <v>26</v>
      </c>
      <c r="C210" s="7" t="s">
        <v>1372</v>
      </c>
      <c r="D210" s="7" t="s">
        <v>1373</v>
      </c>
      <c r="E210" s="7" t="s">
        <v>1033</v>
      </c>
      <c r="F210" s="7" t="s">
        <v>37</v>
      </c>
      <c r="G210" s="6" t="n">
        <v>3</v>
      </c>
      <c r="H210" s="6" t="n">
        <v>12</v>
      </c>
      <c r="I210" s="6" t="n">
        <v>6</v>
      </c>
      <c r="J210" s="9" t="n">
        <v>4000</v>
      </c>
      <c r="K210" s="6" t="n">
        <v>455</v>
      </c>
      <c r="L210" s="6" t="s">
        <v>1374</v>
      </c>
      <c r="M210" s="6" t="n">
        <v>2</v>
      </c>
      <c r="N210" s="9" t="n">
        <v>3973</v>
      </c>
      <c r="O210" s="9" t="n">
        <v>0</v>
      </c>
      <c r="P210" s="16" t="n">
        <v>0.99</v>
      </c>
      <c r="Q210" s="6"/>
      <c r="R210" s="6" t="s">
        <v>1375</v>
      </c>
      <c r="S210" s="17" t="n">
        <v>4</v>
      </c>
      <c r="T210" s="12" t="s">
        <v>1376</v>
      </c>
    </row>
    <row r="211" customFormat="false" ht="15" hidden="false" customHeight="true" outlineLevel="0" collapsed="false">
      <c r="A211" s="6" t="n">
        <v>2022</v>
      </c>
      <c r="B211" s="6" t="n">
        <v>27</v>
      </c>
      <c r="C211" s="7" t="s">
        <v>1377</v>
      </c>
      <c r="D211" s="7" t="s">
        <v>1378</v>
      </c>
      <c r="E211" s="7" t="s">
        <v>58</v>
      </c>
      <c r="F211" s="7" t="s">
        <v>27</v>
      </c>
      <c r="G211" s="6" t="n">
        <v>3</v>
      </c>
      <c r="H211" s="6" t="n">
        <v>9</v>
      </c>
      <c r="I211" s="6" t="n">
        <v>3</v>
      </c>
      <c r="J211" s="9" t="n">
        <v>4000</v>
      </c>
      <c r="K211" s="6" t="n">
        <v>441</v>
      </c>
      <c r="L211" s="6" t="s">
        <v>1379</v>
      </c>
      <c r="M211" s="6" t="n">
        <v>2</v>
      </c>
      <c r="N211" s="9" t="n">
        <v>3709</v>
      </c>
      <c r="O211" s="9" t="n">
        <v>0</v>
      </c>
      <c r="P211" s="16" t="n">
        <v>0.93</v>
      </c>
      <c r="Q211" s="6"/>
      <c r="R211" s="6" t="s">
        <v>1380</v>
      </c>
      <c r="S211" s="17" t="n">
        <v>6</v>
      </c>
      <c r="T211" s="11" t="s">
        <v>1381</v>
      </c>
    </row>
    <row r="212" customFormat="false" ht="15" hidden="false" customHeight="true" outlineLevel="0" collapsed="false">
      <c r="A212" s="6" t="n">
        <v>2022</v>
      </c>
      <c r="B212" s="6" t="n">
        <v>29</v>
      </c>
      <c r="C212" s="7" t="s">
        <v>1382</v>
      </c>
      <c r="D212" s="7" t="s">
        <v>1383</v>
      </c>
      <c r="E212" s="7" t="s">
        <v>690</v>
      </c>
      <c r="F212" s="7" t="s">
        <v>27</v>
      </c>
      <c r="G212" s="6" t="n">
        <v>5</v>
      </c>
      <c r="H212" s="6" t="n">
        <v>17</v>
      </c>
      <c r="I212" s="6" t="n">
        <v>10</v>
      </c>
      <c r="J212" s="9" t="n">
        <v>2400</v>
      </c>
      <c r="K212" s="6" t="n">
        <v>478</v>
      </c>
      <c r="L212" s="6" t="s">
        <v>538</v>
      </c>
      <c r="M212" s="6" t="n">
        <v>0</v>
      </c>
      <c r="N212" s="9" t="n">
        <v>0</v>
      </c>
      <c r="O212" s="9" t="n">
        <v>0</v>
      </c>
      <c r="P212" s="16" t="n">
        <v>0</v>
      </c>
      <c r="Q212" s="6"/>
      <c r="R212" s="6" t="s">
        <v>508</v>
      </c>
      <c r="S212" s="17" t="n">
        <v>3</v>
      </c>
      <c r="T212" s="11" t="s">
        <v>1384</v>
      </c>
    </row>
    <row r="213" customFormat="false" ht="15" hidden="false" customHeight="true" outlineLevel="0" collapsed="false">
      <c r="A213" s="6" t="n">
        <v>2022</v>
      </c>
      <c r="B213" s="6" t="n">
        <v>30</v>
      </c>
      <c r="C213" s="7" t="s">
        <v>1385</v>
      </c>
      <c r="D213" s="7" t="s">
        <v>1386</v>
      </c>
      <c r="E213" s="7" t="s">
        <v>690</v>
      </c>
      <c r="F213" s="7" t="s">
        <v>37</v>
      </c>
      <c r="G213" s="6" t="n">
        <v>2</v>
      </c>
      <c r="H213" s="6" t="n">
        <v>17</v>
      </c>
      <c r="I213" s="6" t="n">
        <v>10</v>
      </c>
      <c r="J213" s="9" t="n">
        <v>1800</v>
      </c>
      <c r="K213" s="6" t="n">
        <v>467</v>
      </c>
      <c r="L213" s="6" t="s">
        <v>522</v>
      </c>
      <c r="M213" s="6" t="n">
        <v>0</v>
      </c>
      <c r="N213" s="9" t="n">
        <v>110</v>
      </c>
      <c r="O213" s="9" t="n">
        <v>0</v>
      </c>
      <c r="P213" s="16" t="n">
        <v>0.06</v>
      </c>
      <c r="Q213" s="6"/>
      <c r="R213" s="6" t="s">
        <v>508</v>
      </c>
      <c r="S213" s="17" t="n">
        <v>2</v>
      </c>
      <c r="T213" s="12" t="s">
        <v>1387</v>
      </c>
    </row>
    <row r="214" customFormat="false" ht="15" hidden="false" customHeight="true" outlineLevel="0" collapsed="false">
      <c r="A214" s="6" t="n">
        <v>2022</v>
      </c>
      <c r="B214" s="6" t="n">
        <v>31</v>
      </c>
      <c r="C214" s="7" t="s">
        <v>1388</v>
      </c>
      <c r="D214" s="7" t="s">
        <v>1389</v>
      </c>
      <c r="E214" s="7" t="s">
        <v>1390</v>
      </c>
      <c r="F214" s="7" t="s">
        <v>27</v>
      </c>
      <c r="G214" s="6" t="n">
        <v>2</v>
      </c>
      <c r="H214" s="6" t="n">
        <v>8</v>
      </c>
      <c r="I214" s="6" t="n">
        <v>2</v>
      </c>
      <c r="J214" s="9" t="n">
        <v>4600</v>
      </c>
      <c r="K214" s="6" t="n">
        <v>485</v>
      </c>
      <c r="L214" s="6" t="s">
        <v>1391</v>
      </c>
      <c r="M214" s="6" t="n">
        <v>2</v>
      </c>
      <c r="N214" s="9" t="n">
        <v>3070</v>
      </c>
      <c r="O214" s="9" t="n">
        <v>0</v>
      </c>
      <c r="P214" s="16" t="n">
        <v>0.67</v>
      </c>
      <c r="Q214" s="6"/>
      <c r="R214" s="6" t="s">
        <v>1392</v>
      </c>
      <c r="S214" s="17" t="n">
        <v>4</v>
      </c>
      <c r="T214" s="11" t="s">
        <v>1393</v>
      </c>
    </row>
    <row r="215" customFormat="false" ht="15" hidden="false" customHeight="true" outlineLevel="0" collapsed="false">
      <c r="A215" s="6" t="n">
        <v>2022</v>
      </c>
      <c r="B215" s="6" t="n">
        <v>32</v>
      </c>
      <c r="C215" s="7" t="s">
        <v>1394</v>
      </c>
      <c r="D215" s="7" t="s">
        <v>1395</v>
      </c>
      <c r="E215" s="7" t="s">
        <v>1390</v>
      </c>
      <c r="F215" s="7" t="s">
        <v>37</v>
      </c>
      <c r="G215" s="6" t="n">
        <v>2</v>
      </c>
      <c r="H215" s="6" t="n">
        <v>10</v>
      </c>
      <c r="I215" s="6" t="n">
        <v>4</v>
      </c>
      <c r="J215" s="9" t="n">
        <v>5000</v>
      </c>
      <c r="K215" s="6" t="n">
        <v>391</v>
      </c>
      <c r="L215" s="6" t="s">
        <v>599</v>
      </c>
      <c r="M215" s="6" t="n">
        <v>0</v>
      </c>
      <c r="N215" s="9" t="n">
        <v>62</v>
      </c>
      <c r="O215" s="9" t="n">
        <v>0</v>
      </c>
      <c r="P215" s="16" t="n">
        <v>0.01</v>
      </c>
      <c r="Q215" s="6"/>
      <c r="R215" s="6" t="s">
        <v>508</v>
      </c>
      <c r="S215" s="17" t="n">
        <v>3</v>
      </c>
      <c r="T215" s="12" t="s">
        <v>1396</v>
      </c>
    </row>
    <row r="216" customFormat="false" ht="15" hidden="false" customHeight="true" outlineLevel="0" collapsed="false">
      <c r="A216" s="6" t="n">
        <v>2022</v>
      </c>
      <c r="B216" s="6" t="n">
        <v>33</v>
      </c>
      <c r="C216" s="7" t="s">
        <v>1397</v>
      </c>
      <c r="D216" s="7" t="s">
        <v>1398</v>
      </c>
      <c r="E216" s="7" t="s">
        <v>172</v>
      </c>
      <c r="F216" s="7" t="s">
        <v>27</v>
      </c>
      <c r="G216" s="6" t="n">
        <v>5</v>
      </c>
      <c r="H216" s="6" t="n">
        <v>7</v>
      </c>
      <c r="I216" s="6" t="n">
        <v>2</v>
      </c>
      <c r="J216" s="9" t="n">
        <v>2400</v>
      </c>
      <c r="K216" s="6" t="n">
        <v>435</v>
      </c>
      <c r="L216" s="6" t="s">
        <v>1399</v>
      </c>
      <c r="M216" s="6" t="n">
        <v>2</v>
      </c>
      <c r="N216" s="9" t="n">
        <v>386</v>
      </c>
      <c r="O216" s="9" t="n">
        <v>255</v>
      </c>
      <c r="P216" s="16" t="n">
        <v>0.27</v>
      </c>
      <c r="Q216" s="6"/>
      <c r="R216" s="6" t="s">
        <v>1400</v>
      </c>
      <c r="S216" s="17" t="n">
        <v>3</v>
      </c>
      <c r="T216" s="11" t="s">
        <v>1401</v>
      </c>
    </row>
    <row r="217" customFormat="false" ht="15" hidden="false" customHeight="true" outlineLevel="0" collapsed="false">
      <c r="A217" s="6" t="n">
        <v>2022</v>
      </c>
      <c r="B217" s="6" t="n">
        <v>35</v>
      </c>
      <c r="C217" s="7" t="s">
        <v>1402</v>
      </c>
      <c r="D217" s="7" t="s">
        <v>1403</v>
      </c>
      <c r="E217" s="7" t="s">
        <v>260</v>
      </c>
      <c r="F217" s="7" t="s">
        <v>27</v>
      </c>
      <c r="G217" s="6" t="n">
        <v>3</v>
      </c>
      <c r="H217" s="6" t="n">
        <v>7</v>
      </c>
      <c r="I217" s="6" t="n">
        <v>1</v>
      </c>
      <c r="J217" s="9" t="n">
        <v>3000</v>
      </c>
      <c r="K217" s="6" t="n">
        <v>456</v>
      </c>
      <c r="L217" s="6" t="s">
        <v>1404</v>
      </c>
      <c r="M217" s="6" t="n">
        <v>1</v>
      </c>
      <c r="N217" s="9" t="n">
        <v>770</v>
      </c>
      <c r="O217" s="9" t="n">
        <v>0</v>
      </c>
      <c r="P217" s="16" t="n">
        <v>0.26</v>
      </c>
      <c r="Q217" s="6"/>
      <c r="R217" s="6" t="s">
        <v>1343</v>
      </c>
      <c r="S217" s="17" t="n">
        <v>5</v>
      </c>
      <c r="T217" s="11" t="s">
        <v>1405</v>
      </c>
    </row>
    <row r="218" customFormat="false" ht="15" hidden="false" customHeight="true" outlineLevel="0" collapsed="false">
      <c r="A218" s="6" t="n">
        <v>2022</v>
      </c>
      <c r="B218" s="6" t="n">
        <v>36</v>
      </c>
      <c r="C218" s="7" t="s">
        <v>1406</v>
      </c>
      <c r="D218" s="7" t="s">
        <v>1407</v>
      </c>
      <c r="E218" s="7" t="s">
        <v>1408</v>
      </c>
      <c r="F218" s="7" t="s">
        <v>27</v>
      </c>
      <c r="G218" s="6" t="n">
        <v>4</v>
      </c>
      <c r="H218" s="6" t="n">
        <v>17</v>
      </c>
      <c r="I218" s="6" t="n">
        <v>12</v>
      </c>
      <c r="J218" s="9" t="n">
        <v>2000</v>
      </c>
      <c r="K218" s="6" t="n">
        <v>445</v>
      </c>
      <c r="L218" s="6" t="s">
        <v>1409</v>
      </c>
      <c r="M218" s="6" t="n">
        <v>2</v>
      </c>
      <c r="N218" s="9" t="n">
        <v>3909</v>
      </c>
      <c r="O218" s="9" t="n">
        <v>0</v>
      </c>
      <c r="P218" s="16" t="n">
        <v>1.95</v>
      </c>
      <c r="Q218" s="6"/>
      <c r="R218" s="6" t="s">
        <v>1410</v>
      </c>
      <c r="S218" s="17" t="n">
        <v>4</v>
      </c>
      <c r="T218" s="11" t="s">
        <v>1411</v>
      </c>
    </row>
    <row r="219" customFormat="false" ht="15" hidden="false" customHeight="true" outlineLevel="0" collapsed="false">
      <c r="A219" s="6" t="n">
        <v>2022</v>
      </c>
      <c r="B219" s="6" t="n">
        <v>37</v>
      </c>
      <c r="C219" s="7" t="s">
        <v>1412</v>
      </c>
      <c r="D219" s="7" t="s">
        <v>1413</v>
      </c>
      <c r="E219" s="7" t="s">
        <v>104</v>
      </c>
      <c r="F219" s="7" t="s">
        <v>27</v>
      </c>
      <c r="G219" s="6" t="n">
        <v>3</v>
      </c>
      <c r="H219" s="6" t="n">
        <v>18</v>
      </c>
      <c r="I219" s="6" t="n">
        <v>12</v>
      </c>
      <c r="J219" s="9" t="n">
        <v>5000</v>
      </c>
      <c r="K219" s="6" t="n">
        <v>463</v>
      </c>
      <c r="L219" s="6" t="s">
        <v>1414</v>
      </c>
      <c r="M219" s="6" t="n">
        <v>1</v>
      </c>
      <c r="N219" s="9" t="n">
        <v>1110</v>
      </c>
      <c r="O219" s="9" t="n">
        <v>0</v>
      </c>
      <c r="P219" s="16" t="n">
        <v>0.22</v>
      </c>
      <c r="Q219" s="6"/>
      <c r="R219" s="6" t="s">
        <v>1357</v>
      </c>
      <c r="S219" s="17" t="n">
        <v>5</v>
      </c>
      <c r="T219" s="11" t="s">
        <v>1415</v>
      </c>
    </row>
    <row r="220" customFormat="false" ht="15" hidden="false" customHeight="true" outlineLevel="0" collapsed="false">
      <c r="A220" s="6" t="n">
        <v>2022</v>
      </c>
      <c r="B220" s="6" t="n">
        <v>38</v>
      </c>
      <c r="C220" s="7" t="s">
        <v>1416</v>
      </c>
      <c r="D220" s="7" t="s">
        <v>1417</v>
      </c>
      <c r="E220" s="7" t="s">
        <v>104</v>
      </c>
      <c r="F220" s="7" t="s">
        <v>37</v>
      </c>
      <c r="G220" s="6" t="n">
        <v>4</v>
      </c>
      <c r="H220" s="6" t="n">
        <v>19</v>
      </c>
      <c r="I220" s="6" t="n">
        <v>12</v>
      </c>
      <c r="J220" s="9" t="n">
        <v>2400</v>
      </c>
      <c r="K220" s="6" t="n">
        <v>410</v>
      </c>
      <c r="L220" s="6" t="s">
        <v>522</v>
      </c>
      <c r="M220" s="6" t="n">
        <v>0</v>
      </c>
      <c r="N220" s="9" t="n">
        <v>0</v>
      </c>
      <c r="O220" s="9" t="n">
        <v>0</v>
      </c>
      <c r="P220" s="16" t="n">
        <v>0</v>
      </c>
      <c r="Q220" s="6"/>
      <c r="R220" s="6" t="s">
        <v>508</v>
      </c>
      <c r="S220" s="17" t="n">
        <v>2</v>
      </c>
      <c r="T220" s="12" t="s">
        <v>188</v>
      </c>
    </row>
    <row r="221" customFormat="false" ht="15" hidden="false" customHeight="true" outlineLevel="0" collapsed="false">
      <c r="A221" s="6" t="n">
        <v>2022</v>
      </c>
      <c r="B221" s="6" t="n">
        <v>39</v>
      </c>
      <c r="C221" s="7" t="s">
        <v>1418</v>
      </c>
      <c r="D221" s="7" t="s">
        <v>1419</v>
      </c>
      <c r="E221" s="7" t="s">
        <v>51</v>
      </c>
      <c r="F221" s="7" t="s">
        <v>27</v>
      </c>
      <c r="G221" s="6" t="n">
        <v>2</v>
      </c>
      <c r="H221" s="6" t="n">
        <v>6</v>
      </c>
      <c r="I221" s="6" t="n">
        <v>1</v>
      </c>
      <c r="J221" s="9" t="n">
        <v>5000</v>
      </c>
      <c r="K221" s="6" t="n">
        <v>492</v>
      </c>
      <c r="L221" s="6" t="s">
        <v>1420</v>
      </c>
      <c r="M221" s="6" t="n">
        <v>1</v>
      </c>
      <c r="N221" s="9" t="n">
        <v>1700</v>
      </c>
      <c r="O221" s="9" t="n">
        <v>0</v>
      </c>
      <c r="P221" s="16" t="n">
        <v>0.34</v>
      </c>
      <c r="Q221" s="6"/>
      <c r="R221" s="6" t="s">
        <v>1343</v>
      </c>
      <c r="S221" s="17" t="n">
        <v>4</v>
      </c>
      <c r="T221" s="11" t="s">
        <v>1421</v>
      </c>
    </row>
    <row r="222" customFormat="false" ht="15" hidden="false" customHeight="true" outlineLevel="0" collapsed="false">
      <c r="A222" s="6" t="n">
        <v>2022</v>
      </c>
      <c r="B222" s="6" t="n">
        <v>40</v>
      </c>
      <c r="C222" s="7" t="s">
        <v>1422</v>
      </c>
      <c r="D222" s="7" t="s">
        <v>1423</v>
      </c>
      <c r="E222" s="7" t="s">
        <v>51</v>
      </c>
      <c r="F222" s="7" t="s">
        <v>37</v>
      </c>
      <c r="G222" s="6" t="n">
        <v>3</v>
      </c>
      <c r="H222" s="6" t="n">
        <v>6</v>
      </c>
      <c r="I222" s="6" t="n">
        <v>3</v>
      </c>
      <c r="J222" s="9" t="n">
        <v>2000</v>
      </c>
      <c r="K222" s="6" t="n">
        <v>486</v>
      </c>
      <c r="L222" s="6" t="s">
        <v>1424</v>
      </c>
      <c r="M222" s="6" t="n">
        <v>2</v>
      </c>
      <c r="N222" s="9" t="n">
        <v>2365</v>
      </c>
      <c r="O222" s="9" t="n">
        <v>0</v>
      </c>
      <c r="P222" s="16" t="n">
        <v>1.18</v>
      </c>
      <c r="Q222" s="6"/>
      <c r="R222" s="6" t="s">
        <v>1425</v>
      </c>
      <c r="S222" s="17" t="n">
        <v>3</v>
      </c>
      <c r="T222" s="12" t="s">
        <v>1426</v>
      </c>
    </row>
    <row r="223" customFormat="false" ht="15" hidden="false" customHeight="true" outlineLevel="0" collapsed="false">
      <c r="A223" s="6" t="n">
        <v>2022</v>
      </c>
      <c r="B223" s="6" t="n">
        <v>41</v>
      </c>
      <c r="C223" s="7" t="s">
        <v>1427</v>
      </c>
      <c r="D223" s="7" t="s">
        <v>1428</v>
      </c>
      <c r="E223" s="7" t="s">
        <v>151</v>
      </c>
      <c r="F223" s="7" t="s">
        <v>27</v>
      </c>
      <c r="G223" s="6" t="n">
        <v>1</v>
      </c>
      <c r="H223" s="6" t="n">
        <v>6</v>
      </c>
      <c r="I223" s="6" t="n">
        <v>1</v>
      </c>
      <c r="J223" s="9" t="n">
        <v>4000</v>
      </c>
      <c r="K223" s="6" t="n">
        <v>433</v>
      </c>
      <c r="L223" s="6" t="s">
        <v>1429</v>
      </c>
      <c r="M223" s="6" t="n">
        <v>2</v>
      </c>
      <c r="N223" s="9" t="n">
        <v>3125</v>
      </c>
      <c r="O223" s="9" t="n">
        <v>0</v>
      </c>
      <c r="P223" s="16" t="n">
        <v>0.78</v>
      </c>
      <c r="Q223" s="6"/>
      <c r="R223" s="6" t="s">
        <v>1430</v>
      </c>
      <c r="S223" s="17" t="n">
        <v>4</v>
      </c>
      <c r="T223" s="11" t="s">
        <v>1431</v>
      </c>
    </row>
    <row r="224" customFormat="false" ht="15" hidden="false" customHeight="true" outlineLevel="0" collapsed="false">
      <c r="A224" s="6" t="n">
        <v>2022</v>
      </c>
      <c r="B224" s="6" t="n">
        <v>42</v>
      </c>
      <c r="C224" s="7" t="s">
        <v>1432</v>
      </c>
      <c r="D224" s="7" t="s">
        <v>1433</v>
      </c>
      <c r="E224" s="7" t="s">
        <v>151</v>
      </c>
      <c r="F224" s="7" t="s">
        <v>37</v>
      </c>
      <c r="G224" s="6" t="n">
        <v>5</v>
      </c>
      <c r="H224" s="6" t="n">
        <v>12</v>
      </c>
      <c r="I224" s="6" t="n">
        <v>6</v>
      </c>
      <c r="J224" s="9" t="n">
        <v>2000</v>
      </c>
      <c r="K224" s="6" t="n">
        <v>400</v>
      </c>
      <c r="L224" s="6" t="s">
        <v>522</v>
      </c>
      <c r="M224" s="6" t="n">
        <v>0</v>
      </c>
      <c r="N224" s="9" t="n">
        <v>62</v>
      </c>
      <c r="O224" s="9" t="n">
        <v>0</v>
      </c>
      <c r="P224" s="16" t="n">
        <v>0.03</v>
      </c>
      <c r="Q224" s="6"/>
      <c r="R224" s="6" t="s">
        <v>508</v>
      </c>
      <c r="S224" s="17" t="n">
        <v>1</v>
      </c>
      <c r="T224" s="12" t="s">
        <v>361</v>
      </c>
    </row>
    <row r="225" customFormat="false" ht="15" hidden="false" customHeight="true" outlineLevel="0" collapsed="false">
      <c r="A225" s="6" t="n">
        <v>2022</v>
      </c>
      <c r="B225" s="6" t="n">
        <v>43</v>
      </c>
      <c r="C225" s="7" t="s">
        <v>1434</v>
      </c>
      <c r="D225" s="7" t="s">
        <v>1435</v>
      </c>
      <c r="E225" s="7" t="s">
        <v>159</v>
      </c>
      <c r="F225" s="7" t="s">
        <v>37</v>
      </c>
      <c r="G225" s="6" t="n">
        <v>1</v>
      </c>
      <c r="H225" s="6" t="n">
        <v>9</v>
      </c>
      <c r="I225" s="6" t="n">
        <v>3</v>
      </c>
      <c r="J225" s="9" t="n">
        <v>2800</v>
      </c>
      <c r="K225" s="6" t="n">
        <v>489</v>
      </c>
      <c r="L225" s="6" t="s">
        <v>1436</v>
      </c>
      <c r="M225" s="6" t="n">
        <v>0</v>
      </c>
      <c r="N225" s="9" t="n">
        <v>1348</v>
      </c>
      <c r="O225" s="9" t="n">
        <v>0</v>
      </c>
      <c r="P225" s="16" t="n">
        <v>0.48</v>
      </c>
      <c r="Q225" s="6"/>
      <c r="R225" s="6" t="s">
        <v>508</v>
      </c>
      <c r="S225" s="17" t="n">
        <v>4</v>
      </c>
      <c r="T225" s="12" t="s">
        <v>1437</v>
      </c>
    </row>
    <row r="226" customFormat="false" ht="15" hidden="false" customHeight="true" outlineLevel="0" collapsed="false">
      <c r="A226" s="6" t="n">
        <v>2022</v>
      </c>
      <c r="B226" s="6" t="n">
        <v>44</v>
      </c>
      <c r="C226" s="7" t="s">
        <v>1438</v>
      </c>
      <c r="D226" s="7" t="s">
        <v>1439</v>
      </c>
      <c r="E226" s="7" t="s">
        <v>206</v>
      </c>
      <c r="F226" s="7" t="s">
        <v>27</v>
      </c>
      <c r="G226" s="6" t="n">
        <v>1</v>
      </c>
      <c r="H226" s="6" t="n">
        <v>13</v>
      </c>
      <c r="I226" s="6" t="n">
        <v>7</v>
      </c>
      <c r="J226" s="9" t="n">
        <v>3000</v>
      </c>
      <c r="K226" s="6" t="n">
        <v>448</v>
      </c>
      <c r="L226" s="6" t="s">
        <v>1404</v>
      </c>
      <c r="M226" s="6" t="n">
        <v>1</v>
      </c>
      <c r="N226" s="9" t="n">
        <v>924</v>
      </c>
      <c r="O226" s="9" t="n">
        <v>0</v>
      </c>
      <c r="P226" s="16" t="n">
        <v>0.31</v>
      </c>
      <c r="Q226" s="6"/>
      <c r="R226" s="6" t="s">
        <v>1357</v>
      </c>
      <c r="S226" s="17" t="n">
        <v>4</v>
      </c>
      <c r="T226" s="11" t="s">
        <v>1440</v>
      </c>
    </row>
    <row r="227" customFormat="false" ht="15" hidden="false" customHeight="true" outlineLevel="0" collapsed="false">
      <c r="A227" s="6" t="n">
        <v>2022</v>
      </c>
      <c r="B227" s="6" t="n">
        <v>45</v>
      </c>
      <c r="C227" s="7" t="s">
        <v>1441</v>
      </c>
      <c r="D227" s="7" t="s">
        <v>1442</v>
      </c>
      <c r="E227" s="7" t="s">
        <v>190</v>
      </c>
      <c r="F227" s="7" t="s">
        <v>27</v>
      </c>
      <c r="G227" s="6" t="n">
        <v>4</v>
      </c>
      <c r="H227" s="6" t="n">
        <v>8</v>
      </c>
      <c r="I227" s="6" t="n">
        <v>2</v>
      </c>
      <c r="J227" s="9" t="n">
        <v>3600</v>
      </c>
      <c r="K227" s="6" t="n">
        <v>444</v>
      </c>
      <c r="L227" s="6" t="s">
        <v>1443</v>
      </c>
      <c r="M227" s="6" t="n">
        <v>6</v>
      </c>
      <c r="N227" s="9" t="n">
        <v>51610</v>
      </c>
      <c r="O227" s="9" t="n">
        <v>0</v>
      </c>
      <c r="P227" s="16" t="n">
        <v>14.34</v>
      </c>
      <c r="Q227" s="6" t="s">
        <v>32</v>
      </c>
      <c r="R227" s="6" t="s">
        <v>1444</v>
      </c>
      <c r="S227" s="17" t="n">
        <v>6</v>
      </c>
      <c r="T227" s="11" t="s">
        <v>1445</v>
      </c>
    </row>
    <row r="228" customFormat="false" ht="15" hidden="false" customHeight="true" outlineLevel="0" collapsed="false">
      <c r="A228" s="6" t="n">
        <v>2022</v>
      </c>
      <c r="B228" s="6" t="n">
        <v>46</v>
      </c>
      <c r="C228" s="7" t="s">
        <v>1446</v>
      </c>
      <c r="D228" s="7" t="s">
        <v>1447</v>
      </c>
      <c r="E228" s="7" t="s">
        <v>847</v>
      </c>
      <c r="F228" s="7" t="s">
        <v>27</v>
      </c>
      <c r="G228" s="6" t="n">
        <v>2</v>
      </c>
      <c r="H228" s="6" t="n">
        <v>15</v>
      </c>
      <c r="I228" s="6" t="n">
        <v>7</v>
      </c>
      <c r="J228" s="9" t="n">
        <v>4400</v>
      </c>
      <c r="K228" s="6" t="n">
        <v>510</v>
      </c>
      <c r="L228" s="6" t="s">
        <v>1448</v>
      </c>
      <c r="M228" s="6" t="n">
        <v>3</v>
      </c>
      <c r="N228" s="9" t="n">
        <v>1100</v>
      </c>
      <c r="O228" s="9" t="n">
        <v>80</v>
      </c>
      <c r="P228" s="16" t="n">
        <v>0.27</v>
      </c>
      <c r="Q228" s="6"/>
      <c r="R228" s="6" t="s">
        <v>1449</v>
      </c>
      <c r="S228" s="17" t="n">
        <v>4</v>
      </c>
      <c r="T228" s="11" t="s">
        <v>1450</v>
      </c>
    </row>
    <row r="229" customFormat="false" ht="15" hidden="false" customHeight="true" outlineLevel="0" collapsed="false">
      <c r="A229" s="6" t="n">
        <v>2022</v>
      </c>
      <c r="B229" s="6" t="n">
        <v>47</v>
      </c>
      <c r="C229" s="7" t="s">
        <v>1451</v>
      </c>
      <c r="D229" s="7" t="s">
        <v>1452</v>
      </c>
      <c r="E229" s="7" t="s">
        <v>681</v>
      </c>
      <c r="F229" s="7" t="s">
        <v>27</v>
      </c>
      <c r="G229" s="6" t="n">
        <v>2</v>
      </c>
      <c r="H229" s="6" t="n">
        <v>9</v>
      </c>
      <c r="I229" s="6" t="n">
        <v>3</v>
      </c>
      <c r="J229" s="9" t="n">
        <v>3000</v>
      </c>
      <c r="K229" s="6" t="n">
        <v>502</v>
      </c>
      <c r="L229" s="6" t="s">
        <v>1453</v>
      </c>
      <c r="M229" s="6" t="n">
        <v>3</v>
      </c>
      <c r="N229" s="9" t="n">
        <v>0</v>
      </c>
      <c r="O229" s="9" t="n">
        <v>345</v>
      </c>
      <c r="P229" s="16" t="n">
        <v>0.12</v>
      </c>
      <c r="Q229" s="6"/>
      <c r="R229" s="6" t="s">
        <v>1454</v>
      </c>
      <c r="S229" s="17" t="n">
        <v>5</v>
      </c>
      <c r="T229" s="11" t="s">
        <v>1455</v>
      </c>
    </row>
    <row r="230" customFormat="false" ht="15" hidden="false" customHeight="true" outlineLevel="0" collapsed="false">
      <c r="A230" s="6" t="n">
        <v>2022</v>
      </c>
      <c r="B230" s="6" t="n">
        <v>48</v>
      </c>
      <c r="C230" s="7" t="s">
        <v>1456</v>
      </c>
      <c r="D230" s="7" t="s">
        <v>1457</v>
      </c>
      <c r="E230" s="7" t="s">
        <v>382</v>
      </c>
      <c r="F230" s="7" t="s">
        <v>37</v>
      </c>
      <c r="G230" s="6" t="n">
        <v>1</v>
      </c>
      <c r="H230" s="6" t="n">
        <v>15</v>
      </c>
      <c r="I230" s="6" t="n">
        <v>9</v>
      </c>
      <c r="J230" s="9" t="n">
        <v>1600</v>
      </c>
      <c r="K230" s="6" t="n">
        <v>478</v>
      </c>
      <c r="L230" s="6" t="s">
        <v>1458</v>
      </c>
      <c r="M230" s="6" t="n">
        <v>1</v>
      </c>
      <c r="N230" s="9" t="n">
        <v>657</v>
      </c>
      <c r="O230" s="9" t="n">
        <v>346</v>
      </c>
      <c r="P230" s="16" t="n">
        <v>0.63</v>
      </c>
      <c r="Q230" s="6"/>
      <c r="R230" s="6" t="s">
        <v>1357</v>
      </c>
      <c r="S230" s="17" t="n">
        <v>2</v>
      </c>
      <c r="T230" s="12" t="s">
        <v>1052</v>
      </c>
    </row>
    <row r="231" customFormat="false" ht="15" hidden="false" customHeight="true" outlineLevel="0" collapsed="false">
      <c r="A231" s="6" t="n">
        <v>2022</v>
      </c>
      <c r="B231" s="6" t="n">
        <v>49</v>
      </c>
      <c r="C231" s="7" t="s">
        <v>1459</v>
      </c>
      <c r="D231" s="7" t="s">
        <v>1460</v>
      </c>
      <c r="E231" s="7" t="s">
        <v>1461</v>
      </c>
      <c r="F231" s="7" t="s">
        <v>27</v>
      </c>
      <c r="G231" s="6" t="n">
        <v>4</v>
      </c>
      <c r="H231" s="6" t="n">
        <v>8</v>
      </c>
      <c r="I231" s="6" t="n">
        <v>2</v>
      </c>
      <c r="J231" s="9" t="n">
        <v>2000</v>
      </c>
      <c r="K231" s="6" t="n">
        <v>413</v>
      </c>
      <c r="L231" s="6" t="s">
        <v>1028</v>
      </c>
      <c r="M231" s="6" t="n">
        <v>2</v>
      </c>
      <c r="N231" s="9" t="n">
        <v>2125</v>
      </c>
      <c r="O231" s="9" t="n">
        <v>0</v>
      </c>
      <c r="P231" s="16" t="n">
        <v>1.06</v>
      </c>
      <c r="Q231" s="6"/>
      <c r="R231" s="6" t="s">
        <v>1462</v>
      </c>
      <c r="S231" s="17" t="n">
        <v>4</v>
      </c>
      <c r="T231" s="11" t="s">
        <v>264</v>
      </c>
    </row>
    <row r="232" customFormat="false" ht="15" hidden="false" customHeight="true" outlineLevel="0" collapsed="false">
      <c r="A232" s="6" t="n">
        <v>2022</v>
      </c>
      <c r="B232" s="6" t="n">
        <v>50</v>
      </c>
      <c r="C232" s="7" t="s">
        <v>1463</v>
      </c>
      <c r="D232" s="7" t="s">
        <v>1464</v>
      </c>
      <c r="E232" s="6" t="s">
        <v>1465</v>
      </c>
      <c r="F232" s="7" t="s">
        <v>37</v>
      </c>
      <c r="G232" s="6" t="n">
        <v>2</v>
      </c>
      <c r="H232" s="6" t="n">
        <v>5</v>
      </c>
      <c r="I232" s="6" t="n">
        <v>1</v>
      </c>
      <c r="J232" s="9" t="n">
        <v>3000</v>
      </c>
      <c r="K232" s="6" t="n">
        <v>455</v>
      </c>
      <c r="L232" s="6" t="s">
        <v>1466</v>
      </c>
      <c r="M232" s="6" t="n">
        <v>3</v>
      </c>
      <c r="N232" s="9" t="n">
        <v>4395</v>
      </c>
      <c r="O232" s="9" t="n">
        <v>0</v>
      </c>
      <c r="P232" s="16" t="n">
        <v>1.47</v>
      </c>
      <c r="Q232" s="6"/>
      <c r="R232" s="6" t="s">
        <v>1467</v>
      </c>
      <c r="S232" s="17" t="n">
        <v>2</v>
      </c>
      <c r="T232" s="11" t="s">
        <v>1468</v>
      </c>
    </row>
    <row r="233" customFormat="false" ht="15" hidden="false" customHeight="true" outlineLevel="0" collapsed="false">
      <c r="A233" s="6" t="n">
        <v>2022</v>
      </c>
      <c r="B233" s="6" t="n">
        <v>51</v>
      </c>
      <c r="C233" s="7" t="s">
        <v>1469</v>
      </c>
      <c r="D233" s="7" t="s">
        <v>1470</v>
      </c>
      <c r="E233" s="7" t="s">
        <v>26</v>
      </c>
      <c r="F233" s="7" t="s">
        <v>27</v>
      </c>
      <c r="G233" s="6" t="n">
        <v>2</v>
      </c>
      <c r="H233" s="6" t="n">
        <v>10</v>
      </c>
      <c r="I233" s="6" t="n">
        <v>4</v>
      </c>
      <c r="J233" s="9" t="n">
        <v>7000</v>
      </c>
      <c r="K233" s="6" t="n">
        <v>426</v>
      </c>
      <c r="L233" s="6" t="s">
        <v>1471</v>
      </c>
      <c r="M233" s="6" t="n">
        <v>5</v>
      </c>
      <c r="N233" s="9" t="n">
        <v>19900</v>
      </c>
      <c r="O233" s="9" t="n">
        <v>0</v>
      </c>
      <c r="P233" s="16" t="n">
        <v>2.84</v>
      </c>
      <c r="Q233" s="6" t="s">
        <v>32</v>
      </c>
      <c r="R233" s="6" t="s">
        <v>1472</v>
      </c>
      <c r="S233" s="17" t="n">
        <v>3</v>
      </c>
      <c r="T233" s="11" t="s">
        <v>84</v>
      </c>
    </row>
    <row r="234" customFormat="false" ht="15" hidden="false" customHeight="true" outlineLevel="0" collapsed="false">
      <c r="A234" s="6" t="n">
        <v>2022</v>
      </c>
      <c r="B234" s="6" t="n">
        <v>52</v>
      </c>
      <c r="C234" s="7" t="s">
        <v>1473</v>
      </c>
      <c r="D234" s="7" t="s">
        <v>1474</v>
      </c>
      <c r="E234" s="7" t="s">
        <v>26</v>
      </c>
      <c r="F234" s="7" t="s">
        <v>37</v>
      </c>
      <c r="G234" s="6" t="n">
        <v>2</v>
      </c>
      <c r="H234" s="6" t="n">
        <v>7</v>
      </c>
      <c r="I234" s="6" t="n">
        <v>1</v>
      </c>
      <c r="J234" s="9" t="n">
        <v>4000</v>
      </c>
      <c r="K234" s="6" t="n">
        <v>401</v>
      </c>
      <c r="L234" s="6" t="s">
        <v>1475</v>
      </c>
      <c r="M234" s="6" t="n">
        <v>2</v>
      </c>
      <c r="N234" s="9" t="n">
        <v>278</v>
      </c>
      <c r="O234" s="9" t="n">
        <v>327</v>
      </c>
      <c r="P234" s="16" t="n">
        <v>0.15</v>
      </c>
      <c r="Q234" s="6"/>
      <c r="R234" s="6" t="s">
        <v>1476</v>
      </c>
      <c r="S234" s="17" t="n">
        <v>2</v>
      </c>
      <c r="T234" s="12" t="s">
        <v>140</v>
      </c>
    </row>
    <row r="235" customFormat="false" ht="15" hidden="false" customHeight="true" outlineLevel="0" collapsed="false">
      <c r="A235" s="6" t="n">
        <v>2022</v>
      </c>
      <c r="B235" s="6" t="n">
        <v>53</v>
      </c>
      <c r="C235" s="7" t="s">
        <v>1477</v>
      </c>
      <c r="D235" s="7" t="s">
        <v>1478</v>
      </c>
      <c r="E235" s="7" t="s">
        <v>26</v>
      </c>
      <c r="F235" s="7" t="s">
        <v>37</v>
      </c>
      <c r="G235" s="6" t="n">
        <v>3</v>
      </c>
      <c r="H235" s="6" t="n">
        <v>10</v>
      </c>
      <c r="I235" s="6" t="n">
        <v>4</v>
      </c>
      <c r="J235" s="9" t="n">
        <v>5000</v>
      </c>
      <c r="K235" s="6" t="n">
        <v>453</v>
      </c>
      <c r="L235" s="6" t="s">
        <v>599</v>
      </c>
      <c r="M235" s="6" t="n">
        <v>0</v>
      </c>
      <c r="N235" s="9" t="n">
        <v>0</v>
      </c>
      <c r="O235" s="9" t="n">
        <v>0</v>
      </c>
      <c r="P235" s="16" t="n">
        <v>0</v>
      </c>
      <c r="Q235" s="6"/>
      <c r="R235" s="6" t="s">
        <v>508</v>
      </c>
      <c r="S235" s="17" t="n">
        <v>5</v>
      </c>
      <c r="T235" s="12" t="s">
        <v>1479</v>
      </c>
    </row>
    <row r="236" customFormat="false" ht="15" hidden="false" customHeight="true" outlineLevel="0" collapsed="false">
      <c r="A236" s="6" t="n">
        <v>2022</v>
      </c>
      <c r="B236" s="6" t="n">
        <v>54</v>
      </c>
      <c r="C236" s="7" t="s">
        <v>1480</v>
      </c>
      <c r="D236" s="7" t="s">
        <v>1481</v>
      </c>
      <c r="E236" s="7" t="s">
        <v>227</v>
      </c>
      <c r="F236" s="7" t="s">
        <v>27</v>
      </c>
      <c r="G236" s="6" t="n">
        <v>2</v>
      </c>
      <c r="H236" s="6" t="n">
        <v>10</v>
      </c>
      <c r="I236" s="6" t="n">
        <v>4</v>
      </c>
      <c r="J236" s="9" t="n">
        <v>7000</v>
      </c>
      <c r="K236" s="6" t="n">
        <v>475</v>
      </c>
      <c r="L236" s="6" t="s">
        <v>1482</v>
      </c>
      <c r="M236" s="6" t="n">
        <v>4</v>
      </c>
      <c r="N236" s="9" t="n">
        <v>9760</v>
      </c>
      <c r="O236" s="9" t="n">
        <v>0</v>
      </c>
      <c r="P236" s="16" t="n">
        <v>1.39</v>
      </c>
      <c r="Q236" s="6"/>
      <c r="R236" s="6" t="s">
        <v>1483</v>
      </c>
      <c r="S236" s="17" t="n">
        <v>3</v>
      </c>
      <c r="T236" s="11" t="s">
        <v>1484</v>
      </c>
    </row>
    <row r="237" customFormat="false" ht="15" hidden="false" customHeight="true" outlineLevel="0" collapsed="false">
      <c r="A237" s="6" t="n">
        <v>2022</v>
      </c>
      <c r="B237" s="6" t="n">
        <v>55</v>
      </c>
      <c r="C237" s="7" t="s">
        <v>1485</v>
      </c>
      <c r="D237" s="7" t="s">
        <v>1486</v>
      </c>
      <c r="E237" s="7" t="s">
        <v>227</v>
      </c>
      <c r="F237" s="7" t="s">
        <v>27</v>
      </c>
      <c r="G237" s="6" t="n">
        <v>3</v>
      </c>
      <c r="H237" s="6" t="n">
        <v>14</v>
      </c>
      <c r="I237" s="6" t="n">
        <v>10</v>
      </c>
      <c r="J237" s="9" t="n">
        <v>10000</v>
      </c>
      <c r="K237" s="6" t="n">
        <v>442</v>
      </c>
      <c r="L237" s="6" t="s">
        <v>1487</v>
      </c>
      <c r="M237" s="6" t="n">
        <v>2</v>
      </c>
      <c r="N237" s="9" t="n">
        <v>2471</v>
      </c>
      <c r="O237" s="9" t="n">
        <v>0</v>
      </c>
      <c r="P237" s="16" t="n">
        <v>0.25</v>
      </c>
      <c r="Q237" s="6"/>
      <c r="R237" s="6" t="s">
        <v>1488</v>
      </c>
      <c r="S237" s="17" t="n">
        <v>4</v>
      </c>
      <c r="T237" s="11" t="s">
        <v>1489</v>
      </c>
    </row>
    <row r="238" customFormat="false" ht="15" hidden="false" customHeight="true" outlineLevel="0" collapsed="false">
      <c r="A238" s="6" t="n">
        <v>2022</v>
      </c>
      <c r="B238" s="6" t="n">
        <v>56</v>
      </c>
      <c r="C238" s="7" t="s">
        <v>1490</v>
      </c>
      <c r="D238" s="7" t="s">
        <v>1491</v>
      </c>
      <c r="E238" s="7" t="s">
        <v>227</v>
      </c>
      <c r="F238" s="7" t="s">
        <v>37</v>
      </c>
      <c r="G238" s="6" t="n">
        <v>4</v>
      </c>
      <c r="H238" s="6" t="n">
        <v>6</v>
      </c>
      <c r="I238" s="6" t="n">
        <v>3</v>
      </c>
      <c r="J238" s="9" t="n">
        <v>5000</v>
      </c>
      <c r="K238" s="6" t="n">
        <v>453</v>
      </c>
      <c r="L238" s="6" t="s">
        <v>1492</v>
      </c>
      <c r="M238" s="6" t="n">
        <v>2</v>
      </c>
      <c r="N238" s="9" t="n">
        <v>3963</v>
      </c>
      <c r="O238" s="9" t="n">
        <v>0</v>
      </c>
      <c r="P238" s="16" t="n">
        <v>0.79</v>
      </c>
      <c r="Q238" s="6"/>
      <c r="R238" s="6" t="s">
        <v>1493</v>
      </c>
      <c r="S238" s="17" t="n">
        <v>4</v>
      </c>
      <c r="T238" s="12" t="s">
        <v>1494</v>
      </c>
    </row>
    <row r="239" customFormat="false" ht="15" hidden="false" customHeight="true" outlineLevel="0" collapsed="false">
      <c r="A239" s="6" t="n">
        <v>2022</v>
      </c>
      <c r="B239" s="6" t="n">
        <v>57</v>
      </c>
      <c r="C239" s="7" t="s">
        <v>1495</v>
      </c>
      <c r="D239" s="7" t="s">
        <v>1496</v>
      </c>
      <c r="E239" s="7" t="s">
        <v>89</v>
      </c>
      <c r="F239" s="7" t="s">
        <v>27</v>
      </c>
      <c r="G239" s="6" t="n">
        <v>2</v>
      </c>
      <c r="H239" s="6" t="n">
        <v>8</v>
      </c>
      <c r="I239" s="6" t="n">
        <v>2</v>
      </c>
      <c r="J239" s="9" t="n">
        <v>5000</v>
      </c>
      <c r="K239" s="6" t="n">
        <v>442</v>
      </c>
      <c r="L239" s="6" t="s">
        <v>1497</v>
      </c>
      <c r="M239" s="6" t="n">
        <v>0</v>
      </c>
      <c r="N239" s="9" t="n">
        <v>688</v>
      </c>
      <c r="O239" s="9" t="n">
        <v>0</v>
      </c>
      <c r="P239" s="16" t="n">
        <v>0.14</v>
      </c>
      <c r="Q239" s="6"/>
      <c r="R239" s="6" t="s">
        <v>508</v>
      </c>
      <c r="S239" s="17" t="n">
        <v>5</v>
      </c>
      <c r="T239" s="11" t="s">
        <v>1498</v>
      </c>
    </row>
    <row r="240" customFormat="false" ht="15" hidden="false" customHeight="true" outlineLevel="0" collapsed="false">
      <c r="A240" s="6" t="n">
        <v>2022</v>
      </c>
      <c r="B240" s="6" t="n">
        <v>58</v>
      </c>
      <c r="C240" s="7" t="s">
        <v>1499</v>
      </c>
      <c r="D240" s="7" t="s">
        <v>1500</v>
      </c>
      <c r="E240" s="7" t="s">
        <v>89</v>
      </c>
      <c r="F240" s="7" t="s">
        <v>37</v>
      </c>
      <c r="G240" s="6" t="n">
        <v>1</v>
      </c>
      <c r="H240" s="6" t="n">
        <v>5</v>
      </c>
      <c r="I240" s="6" t="n">
        <v>2</v>
      </c>
      <c r="J240" s="9" t="n">
        <v>4000</v>
      </c>
      <c r="K240" s="6" t="n">
        <v>425</v>
      </c>
      <c r="L240" s="6" t="s">
        <v>776</v>
      </c>
      <c r="M240" s="6" t="n">
        <v>1</v>
      </c>
      <c r="N240" s="9" t="n">
        <v>720</v>
      </c>
      <c r="O240" s="9" t="n">
        <v>12</v>
      </c>
      <c r="P240" s="16" t="n">
        <v>0.18</v>
      </c>
      <c r="Q240" s="6"/>
      <c r="R240" s="6" t="s">
        <v>1316</v>
      </c>
      <c r="S240" s="17" t="n">
        <v>2</v>
      </c>
      <c r="T240" s="12" t="s">
        <v>140</v>
      </c>
    </row>
    <row r="241" customFormat="false" ht="15" hidden="false" customHeight="true" outlineLevel="0" collapsed="false">
      <c r="A241" s="6" t="n">
        <v>2022</v>
      </c>
      <c r="B241" s="6" t="n">
        <v>59</v>
      </c>
      <c r="C241" s="7" t="s">
        <v>1501</v>
      </c>
      <c r="D241" s="7" t="s">
        <v>1502</v>
      </c>
      <c r="E241" s="7" t="s">
        <v>72</v>
      </c>
      <c r="F241" s="7" t="s">
        <v>27</v>
      </c>
      <c r="G241" s="6" t="n">
        <v>3</v>
      </c>
      <c r="H241" s="6" t="n">
        <v>19</v>
      </c>
      <c r="I241" s="6" t="n">
        <v>13</v>
      </c>
      <c r="J241" s="9" t="n">
        <v>6000</v>
      </c>
      <c r="K241" s="6" t="n">
        <v>420</v>
      </c>
      <c r="L241" s="6" t="s">
        <v>1503</v>
      </c>
      <c r="M241" s="6" t="n">
        <v>0</v>
      </c>
      <c r="N241" s="9" t="n">
        <v>140</v>
      </c>
      <c r="O241" s="9" t="n">
        <v>85</v>
      </c>
      <c r="P241" s="16" t="n">
        <v>0.04</v>
      </c>
      <c r="Q241" s="6"/>
      <c r="R241" s="6" t="s">
        <v>508</v>
      </c>
      <c r="S241" s="17" t="n">
        <v>3</v>
      </c>
      <c r="T241" s="11" t="s">
        <v>76</v>
      </c>
    </row>
    <row r="242" customFormat="false" ht="15" hidden="false" customHeight="true" outlineLevel="0" collapsed="false">
      <c r="A242" s="6" t="n">
        <v>2022</v>
      </c>
      <c r="B242" s="6" t="n">
        <v>60</v>
      </c>
      <c r="C242" s="7" t="s">
        <v>1504</v>
      </c>
      <c r="D242" s="7" t="s">
        <v>1505</v>
      </c>
      <c r="E242" s="7" t="s">
        <v>72</v>
      </c>
      <c r="F242" s="7" t="s">
        <v>37</v>
      </c>
      <c r="G242" s="6" t="n">
        <v>4</v>
      </c>
      <c r="H242" s="6" t="n">
        <v>13</v>
      </c>
      <c r="I242" s="6" t="n">
        <v>8</v>
      </c>
      <c r="J242" s="9" t="n">
        <v>3000</v>
      </c>
      <c r="K242" s="6" t="n">
        <v>396</v>
      </c>
      <c r="L242" s="6" t="s">
        <v>1506</v>
      </c>
      <c r="M242" s="6" t="n">
        <v>1</v>
      </c>
      <c r="N242" s="9" t="n">
        <v>660</v>
      </c>
      <c r="O242" s="9" t="n">
        <v>0</v>
      </c>
      <c r="P242" s="16" t="n">
        <v>0.22</v>
      </c>
      <c r="Q242" s="6"/>
      <c r="R242" s="6" t="s">
        <v>1343</v>
      </c>
      <c r="S242" s="17" t="n">
        <v>3</v>
      </c>
      <c r="T242" s="12" t="s">
        <v>1507</v>
      </c>
    </row>
    <row r="243" customFormat="false" ht="15" hidden="false" customHeight="true" outlineLevel="0" collapsed="false">
      <c r="A243" s="6" t="n">
        <v>2022</v>
      </c>
      <c r="B243" s="6" t="n">
        <v>61</v>
      </c>
      <c r="C243" s="7" t="s">
        <v>1508</v>
      </c>
      <c r="D243" s="7" t="s">
        <v>1509</v>
      </c>
      <c r="E243" s="7" t="s">
        <v>72</v>
      </c>
      <c r="F243" s="7" t="s">
        <v>37</v>
      </c>
      <c r="G243" s="6" t="n">
        <v>4</v>
      </c>
      <c r="H243" s="6" t="n">
        <v>15</v>
      </c>
      <c r="I243" s="6" t="n">
        <v>8</v>
      </c>
      <c r="J243" s="9" t="n">
        <v>4000</v>
      </c>
      <c r="K243" s="6" t="n">
        <v>404</v>
      </c>
      <c r="L243" s="6" t="s">
        <v>691</v>
      </c>
      <c r="M243" s="6" t="n">
        <v>0</v>
      </c>
      <c r="N243" s="9" t="n">
        <v>0</v>
      </c>
      <c r="O243" s="9" t="n">
        <v>0</v>
      </c>
      <c r="P243" s="16" t="n">
        <v>0</v>
      </c>
      <c r="Q243" s="6"/>
      <c r="R243" s="6" t="s">
        <v>508</v>
      </c>
      <c r="S243" s="17" t="n">
        <v>3</v>
      </c>
      <c r="T243" s="12" t="s">
        <v>1507</v>
      </c>
    </row>
    <row r="244" customFormat="false" ht="15" hidden="false" customHeight="true" outlineLevel="0" collapsed="false">
      <c r="A244" s="6" t="n">
        <v>2022</v>
      </c>
      <c r="B244" s="6" t="n">
        <v>62</v>
      </c>
      <c r="C244" s="7" t="s">
        <v>1510</v>
      </c>
      <c r="D244" s="7" t="s">
        <v>1511</v>
      </c>
      <c r="E244" s="7" t="s">
        <v>299</v>
      </c>
      <c r="F244" s="7" t="s">
        <v>27</v>
      </c>
      <c r="G244" s="6" t="n">
        <v>4</v>
      </c>
      <c r="H244" s="6" t="n">
        <v>7</v>
      </c>
      <c r="I244" s="6" t="n">
        <v>1</v>
      </c>
      <c r="J244" s="9" t="n">
        <v>4000</v>
      </c>
      <c r="K244" s="6" t="n">
        <v>380</v>
      </c>
      <c r="L244" s="6" t="s">
        <v>538</v>
      </c>
      <c r="M244" s="6" t="n">
        <v>0</v>
      </c>
      <c r="N244" s="9" t="n">
        <v>0</v>
      </c>
      <c r="O244" s="9" t="n">
        <v>0</v>
      </c>
      <c r="P244" s="16" t="n">
        <v>0</v>
      </c>
      <c r="Q244" s="6"/>
      <c r="R244" s="6" t="s">
        <v>508</v>
      </c>
      <c r="S244" s="17" t="n">
        <v>4</v>
      </c>
      <c r="T244" s="11" t="s">
        <v>350</v>
      </c>
    </row>
    <row r="245" customFormat="false" ht="15" hidden="false" customHeight="true" outlineLevel="0" collapsed="false">
      <c r="A245" s="6" t="n">
        <v>2022</v>
      </c>
      <c r="B245" s="6" t="n">
        <v>63</v>
      </c>
      <c r="C245" s="7" t="s">
        <v>1512</v>
      </c>
      <c r="D245" s="7" t="s">
        <v>1513</v>
      </c>
      <c r="E245" s="7" t="s">
        <v>299</v>
      </c>
      <c r="F245" s="7" t="s">
        <v>37</v>
      </c>
      <c r="G245" s="6" t="n">
        <v>2</v>
      </c>
      <c r="H245" s="6" t="n">
        <v>17</v>
      </c>
      <c r="I245" s="6" t="n">
        <v>11</v>
      </c>
      <c r="J245" s="9" t="n">
        <v>3000</v>
      </c>
      <c r="K245" s="6" t="n">
        <v>453</v>
      </c>
      <c r="L245" s="6" t="s">
        <v>1514</v>
      </c>
      <c r="M245" s="6" t="n">
        <v>2</v>
      </c>
      <c r="N245" s="9" t="n">
        <v>1543</v>
      </c>
      <c r="O245" s="9" t="n">
        <v>0</v>
      </c>
      <c r="P245" s="16" t="n">
        <v>0.51</v>
      </c>
      <c r="Q245" s="6"/>
      <c r="R245" s="6" t="s">
        <v>1425</v>
      </c>
      <c r="S245" s="17" t="n">
        <v>2</v>
      </c>
      <c r="T245" s="11" t="s">
        <v>1515</v>
      </c>
    </row>
    <row r="246" customFormat="false" ht="15" hidden="false" customHeight="true" outlineLevel="0" collapsed="false">
      <c r="A246" s="6" t="n">
        <v>2022</v>
      </c>
      <c r="B246" s="6" t="n">
        <v>64</v>
      </c>
      <c r="C246" s="7" t="s">
        <v>1516</v>
      </c>
      <c r="D246" s="7" t="s">
        <v>1517</v>
      </c>
      <c r="E246" s="7" t="s">
        <v>299</v>
      </c>
      <c r="F246" s="7" t="s">
        <v>37</v>
      </c>
      <c r="G246" s="6" t="n">
        <v>2</v>
      </c>
      <c r="H246" s="6" t="n">
        <v>16</v>
      </c>
      <c r="I246" s="6" t="n">
        <v>11</v>
      </c>
      <c r="J246" s="9" t="n">
        <v>3200</v>
      </c>
      <c r="K246" s="6" t="n">
        <v>487</v>
      </c>
      <c r="L246" s="6" t="s">
        <v>1518</v>
      </c>
      <c r="M246" s="6" t="n">
        <v>1</v>
      </c>
      <c r="N246" s="9" t="n">
        <v>1355</v>
      </c>
      <c r="O246" s="9" t="n">
        <v>0</v>
      </c>
      <c r="P246" s="16" t="n">
        <v>0.42</v>
      </c>
      <c r="Q246" s="6"/>
      <c r="R246" s="6" t="s">
        <v>1343</v>
      </c>
      <c r="S246" s="17" t="n">
        <v>3</v>
      </c>
      <c r="T246" s="12" t="s">
        <v>1519</v>
      </c>
    </row>
    <row r="247" customFormat="false" ht="15" hidden="false" customHeight="true" outlineLevel="0" collapsed="false">
      <c r="A247" s="6" t="n">
        <v>2022</v>
      </c>
      <c r="B247" s="6" t="n">
        <v>65</v>
      </c>
      <c r="C247" s="7" t="s">
        <v>1520</v>
      </c>
      <c r="D247" s="7" t="s">
        <v>1521</v>
      </c>
      <c r="E247" s="7" t="s">
        <v>135</v>
      </c>
      <c r="F247" s="7" t="s">
        <v>27</v>
      </c>
      <c r="G247" s="6" t="n">
        <v>1</v>
      </c>
      <c r="H247" s="6" t="n">
        <v>7</v>
      </c>
      <c r="I247" s="6" t="n">
        <v>1</v>
      </c>
      <c r="J247" s="9" t="n">
        <v>5000</v>
      </c>
      <c r="K247" s="6" t="n">
        <v>486</v>
      </c>
      <c r="L247" s="6" t="s">
        <v>1522</v>
      </c>
      <c r="M247" s="6" t="n">
        <v>1</v>
      </c>
      <c r="N247" s="9" t="n">
        <v>140</v>
      </c>
      <c r="O247" s="9" t="n">
        <v>242</v>
      </c>
      <c r="P247" s="16" t="n">
        <v>0.08</v>
      </c>
      <c r="Q247" s="6"/>
      <c r="R247" s="7" t="s">
        <v>1523</v>
      </c>
      <c r="S247" s="17" t="n">
        <v>4</v>
      </c>
      <c r="T247" s="11" t="s">
        <v>1524</v>
      </c>
    </row>
    <row r="248" customFormat="false" ht="15" hidden="false" customHeight="true" outlineLevel="0" collapsed="false">
      <c r="A248" s="6" t="n">
        <v>2022</v>
      </c>
      <c r="B248" s="6" t="n">
        <v>66</v>
      </c>
      <c r="C248" s="7" t="s">
        <v>1525</v>
      </c>
      <c r="D248" s="7" t="s">
        <v>1526</v>
      </c>
      <c r="E248" s="7" t="s">
        <v>135</v>
      </c>
      <c r="F248" s="7" t="s">
        <v>27</v>
      </c>
      <c r="G248" s="6" t="n">
        <v>2</v>
      </c>
      <c r="H248" s="6" t="n">
        <v>7</v>
      </c>
      <c r="I248" s="6" t="n">
        <v>1</v>
      </c>
      <c r="J248" s="9" t="n">
        <v>12000</v>
      </c>
      <c r="K248" s="6" t="n">
        <v>444</v>
      </c>
      <c r="L248" s="6" t="s">
        <v>1527</v>
      </c>
      <c r="M248" s="6" t="n">
        <v>0</v>
      </c>
      <c r="N248" s="9" t="n">
        <v>538</v>
      </c>
      <c r="O248" s="9" t="n">
        <v>0</v>
      </c>
      <c r="P248" s="16" t="n">
        <v>0.04</v>
      </c>
      <c r="Q248" s="6"/>
      <c r="R248" s="6" t="s">
        <v>508</v>
      </c>
      <c r="S248" s="17" t="n">
        <v>3</v>
      </c>
      <c r="T248" s="11" t="s">
        <v>80</v>
      </c>
    </row>
    <row r="249" customFormat="false" ht="15" hidden="false" customHeight="true" outlineLevel="0" collapsed="false">
      <c r="A249" s="6" t="n">
        <v>2022</v>
      </c>
      <c r="B249" s="6" t="n">
        <v>67</v>
      </c>
      <c r="C249" s="7" t="s">
        <v>1528</v>
      </c>
      <c r="D249" s="7" t="s">
        <v>1529</v>
      </c>
      <c r="E249" s="7" t="s">
        <v>135</v>
      </c>
      <c r="F249" s="7" t="s">
        <v>27</v>
      </c>
      <c r="G249" s="6" t="n">
        <v>3</v>
      </c>
      <c r="H249" s="6" t="n">
        <v>11</v>
      </c>
      <c r="I249" s="6" t="n">
        <v>5</v>
      </c>
      <c r="J249" s="9" t="n">
        <v>6000</v>
      </c>
      <c r="K249" s="6" t="n">
        <v>470</v>
      </c>
      <c r="L249" s="6" t="s">
        <v>1530</v>
      </c>
      <c r="M249" s="6" t="n">
        <v>3</v>
      </c>
      <c r="N249" s="9" t="n">
        <v>4029</v>
      </c>
      <c r="O249" s="9" t="n">
        <v>0</v>
      </c>
      <c r="P249" s="16" t="n">
        <v>0.67</v>
      </c>
      <c r="Q249" s="6"/>
      <c r="R249" s="6" t="s">
        <v>1531</v>
      </c>
      <c r="S249" s="17" t="n">
        <v>5</v>
      </c>
      <c r="T249" s="11" t="s">
        <v>1532</v>
      </c>
    </row>
    <row r="250" customFormat="false" ht="15" hidden="false" customHeight="true" outlineLevel="0" collapsed="false">
      <c r="A250" s="6" t="n">
        <v>2022</v>
      </c>
      <c r="B250" s="6" t="n">
        <v>68</v>
      </c>
      <c r="C250" s="7" t="s">
        <v>1533</v>
      </c>
      <c r="D250" s="7" t="s">
        <v>1534</v>
      </c>
      <c r="E250" s="7" t="s">
        <v>135</v>
      </c>
      <c r="F250" s="7" t="s">
        <v>27</v>
      </c>
      <c r="G250" s="6" t="n">
        <v>4</v>
      </c>
      <c r="H250" s="6" t="n">
        <v>13</v>
      </c>
      <c r="I250" s="6" t="n">
        <v>7</v>
      </c>
      <c r="J250" s="9" t="n">
        <v>4000</v>
      </c>
      <c r="K250" s="6" t="n">
        <v>450</v>
      </c>
      <c r="L250" s="6" t="s">
        <v>1409</v>
      </c>
      <c r="M250" s="6" t="n">
        <v>2</v>
      </c>
      <c r="N250" s="9" t="n">
        <v>6605</v>
      </c>
      <c r="O250" s="9" t="n">
        <v>0</v>
      </c>
      <c r="P250" s="16" t="n">
        <v>1.65</v>
      </c>
      <c r="Q250" s="6"/>
      <c r="R250" s="6" t="s">
        <v>1535</v>
      </c>
      <c r="S250" s="17" t="n">
        <v>5</v>
      </c>
      <c r="T250" s="11" t="s">
        <v>1536</v>
      </c>
    </row>
    <row r="251" customFormat="false" ht="15" hidden="false" customHeight="true" outlineLevel="0" collapsed="false">
      <c r="A251" s="6" t="n">
        <v>2022</v>
      </c>
      <c r="B251" s="6" t="n">
        <v>69</v>
      </c>
      <c r="C251" s="7" t="s">
        <v>1537</v>
      </c>
      <c r="D251" s="7" t="s">
        <v>1538</v>
      </c>
      <c r="E251" s="7" t="s">
        <v>135</v>
      </c>
      <c r="F251" s="7" t="s">
        <v>37</v>
      </c>
      <c r="G251" s="6" t="n">
        <v>1</v>
      </c>
      <c r="H251" s="6" t="n">
        <v>11</v>
      </c>
      <c r="I251" s="6" t="n">
        <v>5</v>
      </c>
      <c r="J251" s="9" t="n">
        <v>2400</v>
      </c>
      <c r="K251" s="6" t="n">
        <v>478</v>
      </c>
      <c r="L251" s="6" t="s">
        <v>611</v>
      </c>
      <c r="M251" s="6" t="n">
        <v>0</v>
      </c>
      <c r="N251" s="9" t="n">
        <v>0</v>
      </c>
      <c r="O251" s="9" t="n">
        <v>0</v>
      </c>
      <c r="P251" s="16" t="n">
        <v>0</v>
      </c>
      <c r="Q251" s="6"/>
      <c r="R251" s="6" t="s">
        <v>508</v>
      </c>
      <c r="S251" s="17" t="n">
        <v>3</v>
      </c>
      <c r="T251" s="12" t="s">
        <v>1539</v>
      </c>
    </row>
    <row r="252" customFormat="false" ht="15" hidden="false" customHeight="true" outlineLevel="0" collapsed="false">
      <c r="A252" s="6" t="n">
        <v>2022</v>
      </c>
      <c r="B252" s="6" t="n">
        <v>70</v>
      </c>
      <c r="C252" s="7" t="s">
        <v>1540</v>
      </c>
      <c r="D252" s="7" t="s">
        <v>1541</v>
      </c>
      <c r="E252" s="7" t="s">
        <v>1005</v>
      </c>
      <c r="F252" s="7" t="s">
        <v>37</v>
      </c>
      <c r="G252" s="6" t="n">
        <v>3</v>
      </c>
      <c r="H252" s="6" t="n">
        <v>16</v>
      </c>
      <c r="I252" s="6" t="n">
        <v>10</v>
      </c>
      <c r="J252" s="9" t="n">
        <v>2800</v>
      </c>
      <c r="K252" s="6" t="n">
        <v>410</v>
      </c>
      <c r="L252" s="6" t="s">
        <v>1542</v>
      </c>
      <c r="M252" s="6" t="n">
        <v>5</v>
      </c>
      <c r="N252" s="9" t="n">
        <v>72</v>
      </c>
      <c r="O252" s="9" t="n">
        <v>215</v>
      </c>
      <c r="P252" s="16" t="n">
        <v>0.1</v>
      </c>
      <c r="Q252" s="6"/>
      <c r="R252" s="6" t="s">
        <v>1543</v>
      </c>
      <c r="S252" s="17" t="n">
        <v>3</v>
      </c>
      <c r="T252" s="12" t="s">
        <v>117</v>
      </c>
    </row>
    <row r="253" customFormat="false" ht="15" hidden="false" customHeight="true" outlineLevel="0" collapsed="false">
      <c r="A253" s="6" t="n">
        <v>2022</v>
      </c>
      <c r="B253" s="6" t="n">
        <v>71</v>
      </c>
      <c r="C253" s="7" t="s">
        <v>1544</v>
      </c>
      <c r="D253" s="7" t="s">
        <v>1545</v>
      </c>
      <c r="E253" s="7" t="s">
        <v>142</v>
      </c>
      <c r="F253" s="7" t="s">
        <v>27</v>
      </c>
      <c r="G253" s="6" t="n">
        <v>3</v>
      </c>
      <c r="H253" s="6" t="n">
        <v>9</v>
      </c>
      <c r="I253" s="6" t="n">
        <v>3</v>
      </c>
      <c r="J253" s="9" t="n">
        <v>3000</v>
      </c>
      <c r="K253" s="6" t="n">
        <v>468</v>
      </c>
      <c r="L253" s="6" t="s">
        <v>1546</v>
      </c>
      <c r="M253" s="6" t="n">
        <v>3</v>
      </c>
      <c r="N253" s="9" t="n">
        <v>5394</v>
      </c>
      <c r="O253" s="9" t="n">
        <v>0</v>
      </c>
      <c r="P253" s="16" t="n">
        <v>1.8</v>
      </c>
      <c r="Q253" s="6"/>
      <c r="R253" s="6" t="s">
        <v>1547</v>
      </c>
      <c r="S253" s="17" t="n">
        <v>6</v>
      </c>
      <c r="T253" s="11" t="s">
        <v>1548</v>
      </c>
    </row>
    <row r="254" customFormat="false" ht="15" hidden="false" customHeight="true" outlineLevel="0" collapsed="false">
      <c r="A254" s="6" t="n">
        <v>2022</v>
      </c>
      <c r="B254" s="6" t="n">
        <v>72</v>
      </c>
      <c r="C254" s="7" t="s">
        <v>1549</v>
      </c>
      <c r="D254" s="7" t="s">
        <v>1550</v>
      </c>
      <c r="E254" s="7" t="s">
        <v>142</v>
      </c>
      <c r="F254" s="7" t="s">
        <v>37</v>
      </c>
      <c r="G254" s="6" t="n">
        <v>3</v>
      </c>
      <c r="H254" s="6" t="n">
        <v>7</v>
      </c>
      <c r="I254" s="6" t="n">
        <v>1</v>
      </c>
      <c r="J254" s="9" t="n">
        <v>2800</v>
      </c>
      <c r="K254" s="6" t="n">
        <v>454</v>
      </c>
      <c r="L254" s="6" t="s">
        <v>1551</v>
      </c>
      <c r="M254" s="6" t="n">
        <v>3</v>
      </c>
      <c r="N254" s="9" t="n">
        <v>4625</v>
      </c>
      <c r="O254" s="9" t="n">
        <v>0</v>
      </c>
      <c r="P254" s="16" t="n">
        <v>1.65</v>
      </c>
      <c r="Q254" s="6"/>
      <c r="R254" s="6" t="s">
        <v>1552</v>
      </c>
      <c r="S254" s="17" t="n">
        <v>4</v>
      </c>
      <c r="T254" s="12" t="s">
        <v>1291</v>
      </c>
    </row>
    <row r="255" customFormat="false" ht="15" hidden="false" customHeight="true" outlineLevel="0" collapsed="false">
      <c r="A255" s="6" t="n">
        <v>2022</v>
      </c>
      <c r="B255" s="6" t="n">
        <v>73</v>
      </c>
      <c r="C255" s="7" t="s">
        <v>1553</v>
      </c>
      <c r="D255" s="7" t="s">
        <v>1554</v>
      </c>
      <c r="E255" s="7" t="s">
        <v>1366</v>
      </c>
      <c r="F255" s="7" t="s">
        <v>27</v>
      </c>
      <c r="G255" s="6" t="n">
        <v>3</v>
      </c>
      <c r="H255" s="6" t="n">
        <v>10</v>
      </c>
      <c r="I255" s="6" t="n">
        <v>6</v>
      </c>
      <c r="J255" s="9" t="n">
        <v>6000</v>
      </c>
      <c r="K255" s="6" t="n">
        <v>436</v>
      </c>
      <c r="L255" s="6" t="s">
        <v>1555</v>
      </c>
      <c r="M255" s="6" t="n">
        <v>3</v>
      </c>
      <c r="N255" s="9" t="n">
        <v>6249</v>
      </c>
      <c r="O255" s="9" t="n">
        <v>0</v>
      </c>
      <c r="P255" s="16" t="n">
        <v>1.04</v>
      </c>
      <c r="Q255" s="6"/>
      <c r="R255" s="6" t="s">
        <v>1556</v>
      </c>
      <c r="S255" s="17" t="n">
        <v>5</v>
      </c>
      <c r="T255" s="11" t="s">
        <v>1557</v>
      </c>
    </row>
    <row r="256" customFormat="false" ht="15" hidden="false" customHeight="true" outlineLevel="0" collapsed="false">
      <c r="A256" s="6" t="n">
        <v>2022</v>
      </c>
      <c r="B256" s="6" t="n">
        <v>74</v>
      </c>
      <c r="C256" s="7" t="s">
        <v>1558</v>
      </c>
      <c r="D256" s="7" t="s">
        <v>1559</v>
      </c>
      <c r="E256" s="7" t="s">
        <v>1366</v>
      </c>
      <c r="F256" s="7" t="s">
        <v>37</v>
      </c>
      <c r="G256" s="6" t="n">
        <v>4</v>
      </c>
      <c r="H256" s="6" t="n">
        <v>7</v>
      </c>
      <c r="I256" s="6" t="n">
        <v>1</v>
      </c>
      <c r="J256" s="9" t="n">
        <v>2400</v>
      </c>
      <c r="K256" s="6" t="n">
        <v>394</v>
      </c>
      <c r="L256" s="6" t="s">
        <v>1560</v>
      </c>
      <c r="M256" s="6" t="n">
        <v>1</v>
      </c>
      <c r="N256" s="9" t="n">
        <v>72</v>
      </c>
      <c r="O256" s="9" t="n">
        <v>113</v>
      </c>
      <c r="P256" s="16" t="n">
        <v>0.08</v>
      </c>
      <c r="Q256" s="6"/>
      <c r="R256" s="7" t="s">
        <v>1561</v>
      </c>
      <c r="S256" s="17" t="n">
        <v>2</v>
      </c>
      <c r="T256" s="12" t="s">
        <v>188</v>
      </c>
    </row>
    <row r="257" customFormat="false" ht="15" hidden="false" customHeight="true" outlineLevel="0" collapsed="false">
      <c r="A257" s="6" t="n">
        <v>2022</v>
      </c>
      <c r="B257" s="6" t="n">
        <v>75</v>
      </c>
      <c r="C257" s="7" t="s">
        <v>1562</v>
      </c>
      <c r="D257" s="7" t="s">
        <v>1563</v>
      </c>
      <c r="E257" s="7" t="s">
        <v>58</v>
      </c>
      <c r="F257" s="7" t="s">
        <v>27</v>
      </c>
      <c r="G257" s="6" t="n">
        <v>3</v>
      </c>
      <c r="H257" s="6" t="n">
        <v>7</v>
      </c>
      <c r="I257" s="6" t="n">
        <v>1</v>
      </c>
      <c r="J257" s="9" t="n">
        <v>3600</v>
      </c>
      <c r="K257" s="6" t="n">
        <v>442</v>
      </c>
      <c r="L257" s="6" t="s">
        <v>1564</v>
      </c>
      <c r="M257" s="6" t="n">
        <v>2</v>
      </c>
      <c r="N257" s="9" t="n">
        <v>510</v>
      </c>
      <c r="O257" s="9" t="n">
        <v>459</v>
      </c>
      <c r="P257" s="16" t="n">
        <v>0.27</v>
      </c>
      <c r="Q257" s="6"/>
      <c r="R257" s="6" t="s">
        <v>1565</v>
      </c>
      <c r="S257" s="17" t="n">
        <v>5</v>
      </c>
      <c r="T257" s="11" t="s">
        <v>730</v>
      </c>
    </row>
    <row r="258" customFormat="false" ht="15" hidden="false" customHeight="true" outlineLevel="0" collapsed="false">
      <c r="A258" s="6" t="n">
        <v>2022</v>
      </c>
      <c r="B258" s="6" t="n">
        <v>76</v>
      </c>
      <c r="C258" s="7" t="s">
        <v>1566</v>
      </c>
      <c r="D258" s="7" t="s">
        <v>1567</v>
      </c>
      <c r="E258" s="7" t="s">
        <v>58</v>
      </c>
      <c r="F258" s="7" t="s">
        <v>37</v>
      </c>
      <c r="G258" s="6" t="n">
        <v>1</v>
      </c>
      <c r="H258" s="6" t="n">
        <v>8</v>
      </c>
      <c r="I258" s="6" t="n">
        <v>2</v>
      </c>
      <c r="J258" s="9" t="n">
        <v>2800</v>
      </c>
      <c r="K258" s="6" t="n">
        <v>438</v>
      </c>
      <c r="L258" s="6" t="s">
        <v>522</v>
      </c>
      <c r="M258" s="6" t="n">
        <v>0</v>
      </c>
      <c r="N258" s="9" t="n">
        <v>83</v>
      </c>
      <c r="O258" s="9" t="n">
        <v>0</v>
      </c>
      <c r="P258" s="16" t="n">
        <v>0.03</v>
      </c>
      <c r="Q258" s="6"/>
      <c r="R258" s="6" t="s">
        <v>508</v>
      </c>
      <c r="S258" s="17" t="n">
        <v>4</v>
      </c>
      <c r="T258" s="12" t="s">
        <v>1568</v>
      </c>
    </row>
    <row r="259" customFormat="false" ht="15" hidden="false" customHeight="true" outlineLevel="0" collapsed="false">
      <c r="A259" s="6" t="n">
        <v>2022</v>
      </c>
      <c r="B259" s="6" t="n">
        <v>77</v>
      </c>
      <c r="C259" s="7" t="s">
        <v>1569</v>
      </c>
      <c r="D259" s="7" t="s">
        <v>1570</v>
      </c>
      <c r="E259" s="7" t="s">
        <v>690</v>
      </c>
      <c r="F259" s="7" t="s">
        <v>27</v>
      </c>
      <c r="G259" s="6" t="n">
        <v>1</v>
      </c>
      <c r="H259" s="6" t="n">
        <v>19</v>
      </c>
      <c r="I259" s="6" t="n">
        <v>12</v>
      </c>
      <c r="J259" s="9" t="n">
        <v>5000</v>
      </c>
      <c r="K259" s="6" t="n">
        <v>469</v>
      </c>
      <c r="L259" s="6" t="s">
        <v>1571</v>
      </c>
      <c r="M259" s="6" t="n">
        <v>3</v>
      </c>
      <c r="N259" s="9" t="n">
        <v>3559</v>
      </c>
      <c r="O259" s="9" t="n">
        <v>0</v>
      </c>
      <c r="P259" s="16" t="n">
        <v>0.71</v>
      </c>
      <c r="Q259" s="6"/>
      <c r="R259" s="6" t="s">
        <v>1572</v>
      </c>
      <c r="S259" s="17" t="n">
        <v>4</v>
      </c>
      <c r="T259" s="11" t="s">
        <v>1573</v>
      </c>
    </row>
    <row r="260" customFormat="false" ht="15" hidden="false" customHeight="true" outlineLevel="0" collapsed="false">
      <c r="A260" s="6" t="n">
        <v>2022</v>
      </c>
      <c r="B260" s="6" t="n">
        <v>78</v>
      </c>
      <c r="C260" s="7" t="s">
        <v>1574</v>
      </c>
      <c r="D260" s="7" t="s">
        <v>1575</v>
      </c>
      <c r="E260" s="7" t="s">
        <v>690</v>
      </c>
      <c r="F260" s="7" t="s">
        <v>37</v>
      </c>
      <c r="G260" s="6" t="n">
        <v>4</v>
      </c>
      <c r="H260" s="6" t="n">
        <v>21</v>
      </c>
      <c r="I260" s="6" t="n">
        <v>16</v>
      </c>
      <c r="J260" s="9" t="n">
        <v>3000</v>
      </c>
      <c r="K260" s="6" t="n">
        <v>434</v>
      </c>
      <c r="L260" s="6" t="s">
        <v>1576</v>
      </c>
      <c r="M260" s="6" t="n">
        <v>1</v>
      </c>
      <c r="N260" s="9" t="n">
        <v>2473</v>
      </c>
      <c r="O260" s="9" t="n">
        <v>0</v>
      </c>
      <c r="P260" s="16" t="n">
        <v>0.82</v>
      </c>
      <c r="Q260" s="6"/>
      <c r="R260" s="6" t="s">
        <v>1343</v>
      </c>
      <c r="S260" s="17" t="n">
        <v>4</v>
      </c>
      <c r="T260" s="12" t="s">
        <v>1577</v>
      </c>
    </row>
    <row r="261" customFormat="false" ht="15" hidden="false" customHeight="true" outlineLevel="0" collapsed="false">
      <c r="A261" s="6" t="n">
        <v>2022</v>
      </c>
      <c r="B261" s="6" t="n">
        <v>79</v>
      </c>
      <c r="C261" s="7" t="s">
        <v>1578</v>
      </c>
      <c r="D261" s="7" t="s">
        <v>1579</v>
      </c>
      <c r="E261" s="7" t="s">
        <v>1390</v>
      </c>
      <c r="F261" s="7" t="s">
        <v>27</v>
      </c>
      <c r="G261" s="6" t="n">
        <v>1</v>
      </c>
      <c r="H261" s="6" t="n">
        <v>16</v>
      </c>
      <c r="I261" s="6" t="n">
        <v>13</v>
      </c>
      <c r="J261" s="9" t="n">
        <v>8000</v>
      </c>
      <c r="K261" s="6" t="n">
        <v>461</v>
      </c>
      <c r="L261" s="6" t="s">
        <v>1580</v>
      </c>
      <c r="M261" s="6" t="n">
        <v>3</v>
      </c>
      <c r="N261" s="9" t="n">
        <v>4711</v>
      </c>
      <c r="O261" s="9" t="n">
        <v>0</v>
      </c>
      <c r="P261" s="16" t="n">
        <v>0.59</v>
      </c>
      <c r="Q261" s="6"/>
      <c r="R261" s="6" t="s">
        <v>1581</v>
      </c>
      <c r="S261" s="17" t="n">
        <v>3</v>
      </c>
      <c r="T261" s="11" t="s">
        <v>1582</v>
      </c>
    </row>
    <row r="262" customFormat="false" ht="15" hidden="false" customHeight="true" outlineLevel="0" collapsed="false">
      <c r="A262" s="6" t="n">
        <v>2022</v>
      </c>
      <c r="B262" s="6" t="n">
        <v>80</v>
      </c>
      <c r="C262" s="7" t="s">
        <v>1583</v>
      </c>
      <c r="D262" s="7" t="s">
        <v>1584</v>
      </c>
      <c r="E262" s="7" t="s">
        <v>1390</v>
      </c>
      <c r="F262" s="7" t="s">
        <v>27</v>
      </c>
      <c r="G262" s="6" t="n">
        <v>4</v>
      </c>
      <c r="H262" s="6" t="n">
        <v>18</v>
      </c>
      <c r="I262" s="6" t="n">
        <v>11</v>
      </c>
      <c r="J262" s="9" t="n">
        <v>5600</v>
      </c>
      <c r="K262" s="6" t="n">
        <v>443</v>
      </c>
      <c r="L262" s="6" t="s">
        <v>1585</v>
      </c>
      <c r="M262" s="6" t="n">
        <v>1</v>
      </c>
      <c r="N262" s="9" t="n">
        <v>1240</v>
      </c>
      <c r="O262" s="9" t="n">
        <v>0</v>
      </c>
      <c r="P262" s="16" t="n">
        <v>0.22</v>
      </c>
      <c r="Q262" s="6"/>
      <c r="R262" s="6" t="s">
        <v>1316</v>
      </c>
      <c r="S262" s="17" t="n">
        <v>5</v>
      </c>
      <c r="T262" s="11" t="s">
        <v>1586</v>
      </c>
    </row>
    <row r="263" customFormat="false" ht="15" hidden="false" customHeight="true" outlineLevel="0" collapsed="false">
      <c r="A263" s="6" t="n">
        <v>2022</v>
      </c>
      <c r="B263" s="6" t="n">
        <v>81</v>
      </c>
      <c r="C263" s="7" t="s">
        <v>1587</v>
      </c>
      <c r="D263" s="7" t="s">
        <v>1588</v>
      </c>
      <c r="E263" s="7" t="s">
        <v>172</v>
      </c>
      <c r="F263" s="7" t="s">
        <v>37</v>
      </c>
      <c r="G263" s="6" t="n">
        <v>2</v>
      </c>
      <c r="H263" s="6" t="n">
        <v>18</v>
      </c>
      <c r="I263" s="6" t="n">
        <v>12</v>
      </c>
      <c r="J263" s="9" t="n">
        <v>2400</v>
      </c>
      <c r="K263" s="6" t="n">
        <v>404</v>
      </c>
      <c r="L263" s="6" t="s">
        <v>1589</v>
      </c>
      <c r="M263" s="6" t="n">
        <v>0</v>
      </c>
      <c r="N263" s="9" t="n">
        <v>440</v>
      </c>
      <c r="O263" s="9" t="n">
        <v>0</v>
      </c>
      <c r="P263" s="16" t="n">
        <v>0.18</v>
      </c>
      <c r="Q263" s="6"/>
      <c r="R263" s="6" t="s">
        <v>508</v>
      </c>
      <c r="S263" s="17" t="n">
        <v>1</v>
      </c>
      <c r="T263" s="12" t="s">
        <v>361</v>
      </c>
    </row>
    <row r="264" customFormat="false" ht="15" hidden="false" customHeight="true" outlineLevel="0" collapsed="false">
      <c r="A264" s="6" t="n">
        <v>2022</v>
      </c>
      <c r="B264" s="6" t="n">
        <v>82</v>
      </c>
      <c r="C264" s="7" t="s">
        <v>1590</v>
      </c>
      <c r="D264" s="7" t="s">
        <v>1591</v>
      </c>
      <c r="E264" s="7" t="s">
        <v>260</v>
      </c>
      <c r="F264" s="7" t="s">
        <v>37</v>
      </c>
      <c r="G264" s="6" t="n">
        <v>2</v>
      </c>
      <c r="H264" s="6" t="n">
        <v>11</v>
      </c>
      <c r="I264" s="6" t="n">
        <v>5</v>
      </c>
      <c r="J264" s="9" t="n">
        <v>2800</v>
      </c>
      <c r="K264" s="6" t="n">
        <v>449</v>
      </c>
      <c r="L264" s="6" t="s">
        <v>1592</v>
      </c>
      <c r="M264" s="6" t="n">
        <v>2</v>
      </c>
      <c r="N264" s="9" t="n">
        <v>3329</v>
      </c>
      <c r="O264" s="9" t="n">
        <v>0</v>
      </c>
      <c r="P264" s="16" t="n">
        <v>1.19</v>
      </c>
      <c r="Q264" s="6"/>
      <c r="R264" s="6" t="s">
        <v>1593</v>
      </c>
      <c r="S264" s="17" t="n">
        <v>4</v>
      </c>
      <c r="T264" s="12" t="s">
        <v>1594</v>
      </c>
    </row>
    <row r="265" customFormat="false" ht="15" hidden="false" customHeight="true" outlineLevel="0" collapsed="false">
      <c r="A265" s="6" t="n">
        <v>2022</v>
      </c>
      <c r="B265" s="6" t="n">
        <v>83</v>
      </c>
      <c r="C265" s="7" t="s">
        <v>1595</v>
      </c>
      <c r="D265" s="7" t="s">
        <v>1596</v>
      </c>
      <c r="E265" s="7" t="s">
        <v>104</v>
      </c>
      <c r="F265" s="7" t="s">
        <v>27</v>
      </c>
      <c r="G265" s="6" t="n">
        <v>3</v>
      </c>
      <c r="H265" s="6" t="n">
        <v>17</v>
      </c>
      <c r="I265" s="6" t="n">
        <v>12</v>
      </c>
      <c r="J265" s="9" t="n">
        <v>2400</v>
      </c>
      <c r="K265" s="6" t="n">
        <v>461</v>
      </c>
      <c r="L265" s="6" t="s">
        <v>611</v>
      </c>
      <c r="M265" s="6" t="n">
        <v>0</v>
      </c>
      <c r="N265" s="9" t="n">
        <v>165</v>
      </c>
      <c r="O265" s="9" t="n">
        <v>0</v>
      </c>
      <c r="P265" s="16" t="n">
        <v>0.07</v>
      </c>
      <c r="Q265" s="6"/>
      <c r="R265" s="6" t="s">
        <v>508</v>
      </c>
      <c r="S265" s="17" t="n">
        <v>4</v>
      </c>
      <c r="T265" s="11" t="s">
        <v>1597</v>
      </c>
    </row>
    <row r="266" customFormat="false" ht="15" hidden="false" customHeight="true" outlineLevel="0" collapsed="false">
      <c r="A266" s="6" t="n">
        <v>2022</v>
      </c>
      <c r="B266" s="6" t="n">
        <v>84</v>
      </c>
      <c r="C266" s="7" t="s">
        <v>1598</v>
      </c>
      <c r="D266" s="7" t="s">
        <v>1599</v>
      </c>
      <c r="E266" s="7" t="s">
        <v>51</v>
      </c>
      <c r="F266" s="7" t="s">
        <v>27</v>
      </c>
      <c r="G266" s="6" t="n">
        <v>4</v>
      </c>
      <c r="H266" s="6" t="n">
        <v>13</v>
      </c>
      <c r="I266" s="6" t="n">
        <v>8</v>
      </c>
      <c r="J266" s="9" t="n">
        <v>2600</v>
      </c>
      <c r="K266" s="6" t="n">
        <v>410</v>
      </c>
      <c r="L266" s="6" t="s">
        <v>538</v>
      </c>
      <c r="M266" s="6" t="n">
        <v>0</v>
      </c>
      <c r="N266" s="9" t="n">
        <v>0</v>
      </c>
      <c r="O266" s="9" t="n">
        <v>0</v>
      </c>
      <c r="P266" s="16" t="n">
        <v>0</v>
      </c>
      <c r="Q266" s="6"/>
      <c r="R266" s="6" t="s">
        <v>508</v>
      </c>
      <c r="S266" s="17" t="n">
        <v>4</v>
      </c>
      <c r="T266" s="11" t="s">
        <v>350</v>
      </c>
    </row>
    <row r="267" customFormat="false" ht="15" hidden="false" customHeight="true" outlineLevel="0" collapsed="false">
      <c r="A267" s="6" t="n">
        <v>2022</v>
      </c>
      <c r="B267" s="6" t="n">
        <v>85</v>
      </c>
      <c r="C267" s="7" t="s">
        <v>1600</v>
      </c>
      <c r="D267" s="7" t="s">
        <v>1601</v>
      </c>
      <c r="E267" s="7" t="s">
        <v>151</v>
      </c>
      <c r="F267" s="7" t="s">
        <v>37</v>
      </c>
      <c r="G267" s="6" t="n">
        <v>1</v>
      </c>
      <c r="H267" s="6" t="n">
        <v>8</v>
      </c>
      <c r="I267" s="6" t="n">
        <v>3</v>
      </c>
      <c r="J267" s="9" t="n">
        <v>3600</v>
      </c>
      <c r="K267" s="6" t="n">
        <v>434</v>
      </c>
      <c r="L267" s="6" t="s">
        <v>1602</v>
      </c>
      <c r="M267" s="6" t="n">
        <v>1</v>
      </c>
      <c r="N267" s="9" t="n">
        <v>83</v>
      </c>
      <c r="O267" s="9" t="n">
        <v>269</v>
      </c>
      <c r="P267" s="16" t="n">
        <v>0.1</v>
      </c>
      <c r="Q267" s="6"/>
      <c r="R267" s="6" t="s">
        <v>1603</v>
      </c>
      <c r="S267" s="17" t="n">
        <v>4</v>
      </c>
      <c r="T267" s="12" t="s">
        <v>1604</v>
      </c>
    </row>
    <row r="268" customFormat="false" ht="15" hidden="false" customHeight="true" outlineLevel="0" collapsed="false">
      <c r="A268" s="6" t="n">
        <v>2022</v>
      </c>
      <c r="B268" s="6" t="n">
        <v>86</v>
      </c>
      <c r="C268" s="7" t="s">
        <v>1605</v>
      </c>
      <c r="D268" s="7" t="s">
        <v>1606</v>
      </c>
      <c r="E268" s="7" t="s">
        <v>159</v>
      </c>
      <c r="F268" s="7" t="s">
        <v>37</v>
      </c>
      <c r="G268" s="6" t="n">
        <v>3</v>
      </c>
      <c r="H268" s="6" t="n">
        <v>12</v>
      </c>
      <c r="I268" s="6" t="n">
        <v>6</v>
      </c>
      <c r="J268" s="9" t="n">
        <v>2800</v>
      </c>
      <c r="K268" s="6" t="n">
        <v>416</v>
      </c>
      <c r="L268" s="6" t="s">
        <v>1607</v>
      </c>
      <c r="M268" s="6" t="n">
        <v>2</v>
      </c>
      <c r="N268" s="9" t="n">
        <v>515</v>
      </c>
      <c r="O268" s="9" t="n">
        <v>238</v>
      </c>
      <c r="P268" s="16" t="n">
        <v>0.27</v>
      </c>
      <c r="Q268" s="6"/>
      <c r="R268" s="7" t="s">
        <v>1608</v>
      </c>
      <c r="S268" s="17" t="n">
        <v>3</v>
      </c>
      <c r="T268" s="12" t="s">
        <v>117</v>
      </c>
    </row>
    <row r="269" customFormat="false" ht="15" hidden="false" customHeight="true" outlineLevel="0" collapsed="false">
      <c r="A269" s="6" t="n">
        <v>2022</v>
      </c>
      <c r="B269" s="6" t="n">
        <v>87</v>
      </c>
      <c r="C269" s="7" t="s">
        <v>1609</v>
      </c>
      <c r="D269" s="7" t="s">
        <v>1610</v>
      </c>
      <c r="E269" s="7" t="s">
        <v>206</v>
      </c>
      <c r="F269" s="7" t="s">
        <v>27</v>
      </c>
      <c r="G269" s="6" t="n">
        <v>4</v>
      </c>
      <c r="H269" s="6" t="n">
        <v>10</v>
      </c>
      <c r="I269" s="6" t="n">
        <v>4</v>
      </c>
      <c r="J269" s="9" t="n">
        <v>2800</v>
      </c>
      <c r="K269" s="6" t="n">
        <v>429</v>
      </c>
      <c r="L269" s="6" t="s">
        <v>1611</v>
      </c>
      <c r="M269" s="6" t="n">
        <v>3</v>
      </c>
      <c r="N269" s="9" t="n">
        <v>7529</v>
      </c>
      <c r="O269" s="9" t="n">
        <v>0</v>
      </c>
      <c r="P269" s="16" t="n">
        <v>2.69</v>
      </c>
      <c r="Q269" s="6"/>
      <c r="R269" s="6" t="s">
        <v>1612</v>
      </c>
      <c r="S269" s="17" t="n">
        <v>5</v>
      </c>
      <c r="T269" s="11" t="s">
        <v>1613</v>
      </c>
    </row>
    <row r="270" customFormat="false" ht="15" hidden="false" customHeight="true" outlineLevel="0" collapsed="false">
      <c r="A270" s="6" t="n">
        <v>2022</v>
      </c>
      <c r="B270" s="6" t="n">
        <v>88</v>
      </c>
      <c r="C270" s="7" t="s">
        <v>1614</v>
      </c>
      <c r="D270" s="7" t="s">
        <v>1615</v>
      </c>
      <c r="E270" s="7" t="s">
        <v>190</v>
      </c>
      <c r="F270" s="7" t="s">
        <v>37</v>
      </c>
      <c r="G270" s="6" t="n">
        <v>4</v>
      </c>
      <c r="H270" s="6" t="n">
        <v>19</v>
      </c>
      <c r="I270" s="6" t="n">
        <v>12</v>
      </c>
      <c r="J270" s="9" t="n">
        <v>3200</v>
      </c>
      <c r="K270" s="6" t="n">
        <v>423</v>
      </c>
      <c r="L270" s="6" t="s">
        <v>858</v>
      </c>
      <c r="M270" s="6" t="n">
        <v>0</v>
      </c>
      <c r="N270" s="9" t="n">
        <v>138</v>
      </c>
      <c r="O270" s="9" t="n">
        <v>0</v>
      </c>
      <c r="P270" s="16" t="n">
        <v>0.04</v>
      </c>
      <c r="Q270" s="6"/>
      <c r="R270" s="6" t="s">
        <v>508</v>
      </c>
      <c r="S270" s="17" t="n">
        <v>3</v>
      </c>
      <c r="T270" s="12" t="s">
        <v>1507</v>
      </c>
    </row>
    <row r="271" customFormat="false" ht="15" hidden="false" customHeight="true" outlineLevel="0" collapsed="false">
      <c r="A271" s="6" t="n">
        <v>2022</v>
      </c>
      <c r="B271" s="6" t="n">
        <v>89</v>
      </c>
      <c r="C271" s="7" t="s">
        <v>1616</v>
      </c>
      <c r="D271" s="7" t="s">
        <v>1617</v>
      </c>
      <c r="E271" s="7" t="s">
        <v>1618</v>
      </c>
      <c r="F271" s="7" t="s">
        <v>27</v>
      </c>
      <c r="G271" s="6" t="n">
        <v>3</v>
      </c>
      <c r="H271" s="6" t="n">
        <v>19</v>
      </c>
      <c r="I271" s="6" t="n">
        <v>15</v>
      </c>
      <c r="J271" s="9" t="n">
        <v>2400</v>
      </c>
      <c r="K271" s="6" t="n">
        <v>430</v>
      </c>
      <c r="L271" s="6" t="s">
        <v>1619</v>
      </c>
      <c r="M271" s="6" t="n">
        <v>1</v>
      </c>
      <c r="N271" s="9" t="n">
        <v>55</v>
      </c>
      <c r="O271" s="9" t="n">
        <v>166</v>
      </c>
      <c r="P271" s="16" t="n">
        <v>0.09</v>
      </c>
      <c r="Q271" s="6"/>
      <c r="R271" s="6" t="s">
        <v>1620</v>
      </c>
      <c r="S271" s="17" t="n">
        <v>4</v>
      </c>
      <c r="T271" s="11" t="s">
        <v>1621</v>
      </c>
    </row>
    <row r="272" customFormat="false" ht="15" hidden="false" customHeight="true" outlineLevel="0" collapsed="false">
      <c r="A272" s="6" t="n">
        <v>2022</v>
      </c>
      <c r="B272" s="6" t="n">
        <v>90</v>
      </c>
      <c r="C272" s="7" t="s">
        <v>1622</v>
      </c>
      <c r="D272" s="7" t="s">
        <v>1623</v>
      </c>
      <c r="E272" s="7" t="s">
        <v>666</v>
      </c>
      <c r="F272" s="7" t="s">
        <v>27</v>
      </c>
      <c r="G272" s="6" t="n">
        <v>4</v>
      </c>
      <c r="H272" s="6" t="n">
        <v>12</v>
      </c>
      <c r="I272" s="6" t="n">
        <v>8</v>
      </c>
      <c r="J272" s="9" t="n">
        <v>3000</v>
      </c>
      <c r="K272" s="6" t="n">
        <v>465</v>
      </c>
      <c r="L272" s="6" t="s">
        <v>1624</v>
      </c>
      <c r="M272" s="6" t="n">
        <v>3</v>
      </c>
      <c r="N272" s="9" t="n">
        <v>4185</v>
      </c>
      <c r="O272" s="9" t="n">
        <v>54</v>
      </c>
      <c r="P272" s="16" t="n">
        <v>1.41</v>
      </c>
      <c r="Q272" s="6"/>
      <c r="R272" s="6" t="s">
        <v>1625</v>
      </c>
      <c r="S272" s="17" t="n">
        <v>5</v>
      </c>
      <c r="T272" s="11" t="s">
        <v>1626</v>
      </c>
    </row>
    <row r="273" customFormat="false" ht="15" hidden="false" customHeight="true" outlineLevel="0" collapsed="false">
      <c r="A273" s="6" t="n">
        <v>2022</v>
      </c>
      <c r="B273" s="6" t="n">
        <v>91</v>
      </c>
      <c r="C273" s="7" t="s">
        <v>1627</v>
      </c>
      <c r="D273" s="7" t="s">
        <v>1628</v>
      </c>
      <c r="E273" s="7" t="s">
        <v>260</v>
      </c>
      <c r="F273" s="7" t="s">
        <v>27</v>
      </c>
      <c r="G273" s="6" t="n">
        <v>5</v>
      </c>
      <c r="H273" s="6" t="n">
        <v>17</v>
      </c>
      <c r="I273" s="6" t="n">
        <v>9</v>
      </c>
      <c r="J273" s="9" t="n">
        <v>1400</v>
      </c>
      <c r="K273" s="6" t="n">
        <v>357</v>
      </c>
      <c r="L273" s="6" t="s">
        <v>1629</v>
      </c>
      <c r="M273" s="6" t="n">
        <v>0</v>
      </c>
      <c r="N273" s="9" t="n">
        <v>0</v>
      </c>
      <c r="O273" s="9" t="n">
        <v>259</v>
      </c>
      <c r="P273" s="16" t="n">
        <v>0.18</v>
      </c>
      <c r="Q273" s="6"/>
      <c r="R273" s="6" t="s">
        <v>508</v>
      </c>
      <c r="S273" s="17" t="n">
        <v>2</v>
      </c>
      <c r="T273" s="11" t="s">
        <v>222</v>
      </c>
    </row>
    <row r="274" customFormat="false" ht="15" hidden="false" customHeight="true" outlineLevel="0" collapsed="false">
      <c r="A274" s="6" t="n">
        <v>2022</v>
      </c>
      <c r="B274" s="6" t="n">
        <v>92</v>
      </c>
      <c r="C274" s="7" t="s">
        <v>1630</v>
      </c>
      <c r="D274" s="7" t="s">
        <v>1631</v>
      </c>
      <c r="E274" s="7" t="s">
        <v>142</v>
      </c>
      <c r="F274" s="7" t="s">
        <v>37</v>
      </c>
      <c r="G274" s="6" t="n">
        <v>3</v>
      </c>
      <c r="H274" s="6" t="n">
        <v>8</v>
      </c>
      <c r="I274" s="6" t="n">
        <v>2</v>
      </c>
      <c r="J274" s="9" t="n">
        <v>1800</v>
      </c>
      <c r="K274" s="6" t="n">
        <v>430</v>
      </c>
      <c r="L274" s="6" t="s">
        <v>691</v>
      </c>
      <c r="M274" s="6" t="n">
        <v>0</v>
      </c>
      <c r="N274" s="9" t="n">
        <v>0</v>
      </c>
      <c r="O274" s="9" t="n">
        <v>0</v>
      </c>
      <c r="P274" s="16" t="n">
        <v>0</v>
      </c>
      <c r="Q274" s="6"/>
      <c r="R274" s="6" t="s">
        <v>508</v>
      </c>
      <c r="S274" s="17" t="n">
        <v>4</v>
      </c>
      <c r="T274" s="12" t="s">
        <v>1632</v>
      </c>
    </row>
    <row r="275" customFormat="false" ht="15" hidden="false" customHeight="true" outlineLevel="0" collapsed="false">
      <c r="A275" s="6" t="n">
        <v>2022</v>
      </c>
      <c r="B275" s="6" t="n">
        <v>93</v>
      </c>
      <c r="C275" s="7" t="s">
        <v>1633</v>
      </c>
      <c r="D275" s="7" t="s">
        <v>1634</v>
      </c>
      <c r="E275" s="7" t="s">
        <v>382</v>
      </c>
      <c r="F275" s="7" t="s">
        <v>27</v>
      </c>
      <c r="G275" s="6" t="n">
        <v>4</v>
      </c>
      <c r="H275" s="6" t="n">
        <v>8</v>
      </c>
      <c r="I275" s="6" t="n">
        <v>2</v>
      </c>
      <c r="J275" s="9" t="n">
        <v>2000</v>
      </c>
      <c r="K275" s="6" t="n">
        <v>475</v>
      </c>
      <c r="L275" s="6" t="s">
        <v>1635</v>
      </c>
      <c r="M275" s="6" t="n">
        <v>1</v>
      </c>
      <c r="N275" s="9" t="n">
        <v>0</v>
      </c>
      <c r="O275" s="9" t="n">
        <v>250</v>
      </c>
      <c r="P275" s="16" t="n">
        <v>0.12</v>
      </c>
      <c r="Q275" s="6"/>
      <c r="R275" s="6" t="s">
        <v>1636</v>
      </c>
      <c r="S275" s="17" t="n">
        <v>5</v>
      </c>
      <c r="T275" s="11" t="s">
        <v>1637</v>
      </c>
    </row>
    <row r="276" customFormat="false" ht="15" hidden="false" customHeight="true" outlineLevel="0" collapsed="false">
      <c r="A276" s="6" t="n">
        <v>2022</v>
      </c>
      <c r="B276" s="6" t="n">
        <v>94</v>
      </c>
      <c r="C276" s="7" t="s">
        <v>1638</v>
      </c>
      <c r="D276" s="7" t="s">
        <v>1639</v>
      </c>
      <c r="E276" s="7" t="s">
        <v>1640</v>
      </c>
      <c r="F276" s="7" t="s">
        <v>27</v>
      </c>
      <c r="G276" s="6" t="n">
        <v>3</v>
      </c>
      <c r="H276" s="6" t="n">
        <v>8</v>
      </c>
      <c r="I276" s="6" t="n">
        <v>1</v>
      </c>
      <c r="J276" s="9" t="n">
        <v>1600</v>
      </c>
      <c r="K276" s="6" t="n">
        <v>463</v>
      </c>
      <c r="L276" s="6" t="s">
        <v>1641</v>
      </c>
      <c r="M276" s="6" t="n">
        <v>6</v>
      </c>
      <c r="N276" s="9" t="n">
        <v>0</v>
      </c>
      <c r="O276" s="9" t="n">
        <v>1646</v>
      </c>
      <c r="P276" s="16" t="n">
        <v>1.03</v>
      </c>
      <c r="Q276" s="6"/>
      <c r="R276" s="6" t="s">
        <v>1642</v>
      </c>
      <c r="S276" s="17" t="n">
        <v>5</v>
      </c>
      <c r="T276" s="11" t="s">
        <v>1643</v>
      </c>
    </row>
    <row r="277" customFormat="false" ht="15" hidden="false" customHeight="true" outlineLevel="0" collapsed="false">
      <c r="A277" s="6" t="n">
        <v>2022</v>
      </c>
      <c r="B277" s="6" t="n">
        <v>95</v>
      </c>
      <c r="C277" s="7" t="s">
        <v>1644</v>
      </c>
      <c r="D277" s="7" t="s">
        <v>1645</v>
      </c>
      <c r="E277" s="7" t="s">
        <v>1646</v>
      </c>
      <c r="F277" s="7" t="s">
        <v>37</v>
      </c>
      <c r="G277" s="6" t="n">
        <v>5</v>
      </c>
      <c r="H277" s="6" t="n">
        <v>20</v>
      </c>
      <c r="I277" s="6" t="n">
        <v>12</v>
      </c>
      <c r="J277" s="9" t="n">
        <v>1000</v>
      </c>
      <c r="K277" s="6" t="n">
        <v>388</v>
      </c>
      <c r="L277" s="6" t="s">
        <v>1647</v>
      </c>
      <c r="M277" s="6" t="n">
        <v>0</v>
      </c>
      <c r="N277" s="9" t="n">
        <v>0</v>
      </c>
      <c r="O277" s="9" t="n">
        <v>261</v>
      </c>
      <c r="P277" s="16" t="n">
        <v>0.26</v>
      </c>
      <c r="Q277" s="6"/>
      <c r="R277" s="6" t="s">
        <v>508</v>
      </c>
      <c r="S277" s="17" t="n">
        <v>1</v>
      </c>
      <c r="T277" s="12" t="s">
        <v>361</v>
      </c>
    </row>
  </sheetData>
  <autoFilter ref="A1:T2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2026-07-22T23:05:45Z</dcterms:created>
  <dc:creator>openpyxl</dc:creator>
  <dc:description/>
  <dc:language>en-US</dc:language>
  <cp:lastModifiedBy/>
  <dcterms:modified xsi:type="dcterms:W3CDTF">2026-08-18T12:35:08Z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